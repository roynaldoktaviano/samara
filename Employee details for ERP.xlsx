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<sst xmlns="http://schemas.openxmlformats.org/spreadsheetml/2006/main" count="1478" uniqueCount="755">
  <si>
    <t xml:space="preserve">Employee No. </t>
  </si>
  <si>
    <t>Full Name</t>
  </si>
  <si>
    <t>Nick Name</t>
  </si>
  <si>
    <t>Nationality</t>
  </si>
  <si>
    <t xml:space="preserve">NIK / Passport No. </t>
  </si>
  <si>
    <t>Address</t>
  </si>
  <si>
    <t>Mother's name</t>
  </si>
  <si>
    <t>Place of Birth</t>
  </si>
  <si>
    <t>Birthdate</t>
  </si>
  <si>
    <t>Marital Status</t>
  </si>
  <si>
    <t>Religion</t>
  </si>
  <si>
    <t xml:space="preserve">Phone No. </t>
  </si>
  <si>
    <t>Email</t>
  </si>
  <si>
    <t>Leave</t>
  </si>
  <si>
    <t>Area</t>
  </si>
  <si>
    <t>Gender</t>
  </si>
  <si>
    <t>Nama Kapal
Vessel / Department</t>
  </si>
  <si>
    <t>Perusahaan (Company)
June 2026</t>
  </si>
  <si>
    <t>Director</t>
  </si>
  <si>
    <t>Job Position</t>
  </si>
  <si>
    <t>Status</t>
  </si>
  <si>
    <t>Next Contract</t>
  </si>
  <si>
    <t>Join</t>
  </si>
  <si>
    <t>Service Year</t>
  </si>
  <si>
    <t>PTKP</t>
  </si>
  <si>
    <t>Bank</t>
  </si>
  <si>
    <t>Bank Number</t>
  </si>
  <si>
    <t>Bank Account</t>
  </si>
  <si>
    <t>Uang  Layar/Hari</t>
  </si>
  <si>
    <t>Uang Makan</t>
  </si>
  <si>
    <t xml:space="preserve">Sales Commission </t>
  </si>
  <si>
    <t>Basick Salary</t>
  </si>
  <si>
    <t>Function Allowance</t>
  </si>
  <si>
    <t>No BPJS TK</t>
  </si>
  <si>
    <t>No BPJS KES</t>
  </si>
  <si>
    <t>SYM B - 01</t>
  </si>
  <si>
    <r>
      <rPr>
        <rFont val="Arial"/>
        <b/>
        <color theme="1"/>
        <sz val="9.0"/>
        <u/>
      </rPr>
      <t xml:space="preserve">Fresa </t>
    </r>
    <r>
      <rPr>
        <rFont val="Arial"/>
        <color theme="1"/>
        <sz val="9.0"/>
      </rPr>
      <t>Amalia</t>
    </r>
  </si>
  <si>
    <t>Fresa</t>
  </si>
  <si>
    <t>Indonesia</t>
  </si>
  <si>
    <t>3507114206810002</t>
  </si>
  <si>
    <t>Jl. Nindya Indah V No. 108 Kedaton Sennuan, Tonja Denpasar Utara</t>
  </si>
  <si>
    <t>Saumi</t>
  </si>
  <si>
    <t>Malang</t>
  </si>
  <si>
    <t>02.06.1981</t>
  </si>
  <si>
    <t>Married</t>
  </si>
  <si>
    <t>Kristen</t>
  </si>
  <si>
    <t>0812-3807-551</t>
  </si>
  <si>
    <t>f.amalia@icloud.com</t>
  </si>
  <si>
    <t>Office Bali</t>
  </si>
  <si>
    <t>F</t>
  </si>
  <si>
    <t>PT Samara Yacht Management</t>
  </si>
  <si>
    <t>Fresa Amalia</t>
  </si>
  <si>
    <t>Karyawan Tetap</t>
  </si>
  <si>
    <t>SK</t>
  </si>
  <si>
    <t>TK/0</t>
  </si>
  <si>
    <t>MANDIRI</t>
  </si>
  <si>
    <t>FRESA AMALIA</t>
  </si>
  <si>
    <t>0003266355104</t>
  </si>
  <si>
    <t>SYA-15-001</t>
  </si>
  <si>
    <r>
      <rPr>
        <rFont val="Arial"/>
        <b/>
        <color theme="1"/>
        <sz val="9.0"/>
        <u/>
      </rPr>
      <t>Marc</t>
    </r>
    <r>
      <rPr>
        <rFont val="Arial"/>
        <color theme="1"/>
        <sz val="9.0"/>
      </rPr>
      <t xml:space="preserve"> Peter Christoffel</t>
    </r>
  </si>
  <si>
    <t>Om Husky</t>
  </si>
  <si>
    <t>Switzerland</t>
  </si>
  <si>
    <t>X5004261</t>
  </si>
  <si>
    <t>Jl. Tunjung Sari No. 1 Medura Sanur Kauh Denpasar Selatan</t>
  </si>
  <si>
    <t>Aafje Geertje Christoffel Klomp</t>
  </si>
  <si>
    <t>Thusis Gr</t>
  </si>
  <si>
    <t>09.03.1974</t>
  </si>
  <si>
    <t>+41763966660</t>
  </si>
  <si>
    <t>marc@samaraliveaboard.com</t>
  </si>
  <si>
    <t>M</t>
  </si>
  <si>
    <t>PT Samara Yacht Agency</t>
  </si>
  <si>
    <t>Marc Peter Christoffel</t>
  </si>
  <si>
    <t>K/0</t>
  </si>
  <si>
    <t>MARC PETER CHRISTOFF</t>
  </si>
  <si>
    <t>0003949536328</t>
  </si>
  <si>
    <t>SWB - 15 - 001</t>
  </si>
  <si>
    <r>
      <rPr>
        <rFont val="Arial"/>
        <b/>
        <color theme="1"/>
        <sz val="9.0"/>
        <u/>
      </rPr>
      <t>Eman</t>
    </r>
    <r>
      <rPr>
        <rFont val="Arial"/>
        <color theme="1"/>
        <sz val="9.0"/>
      </rPr>
      <t>uel Utus Wadhi</t>
    </r>
  </si>
  <si>
    <t>Om Eman</t>
  </si>
  <si>
    <t>5315052512770006</t>
  </si>
  <si>
    <t>Komplek PLN RT 012 Rw 004 Desa Gorontalo Kec. Komodo - Labuan Bajo</t>
  </si>
  <si>
    <t>Maria Tiwa</t>
  </si>
  <si>
    <t>Ende</t>
  </si>
  <si>
    <t>25.12.1977</t>
  </si>
  <si>
    <t>Katholik</t>
  </si>
  <si>
    <t>0812-3751-1385</t>
  </si>
  <si>
    <t>Office Labuan Bajo</t>
  </si>
  <si>
    <t>PT. Samara Wisata Bahari</t>
  </si>
  <si>
    <t>Oprational Manager</t>
  </si>
  <si>
    <t>K/3</t>
  </si>
  <si>
    <t>EMANUEL UTUS WANDIH</t>
  </si>
  <si>
    <t>0001434695949</t>
  </si>
  <si>
    <t>SWB - 15 - 002</t>
  </si>
  <si>
    <r>
      <rPr>
        <rFont val="Arial"/>
        <b/>
        <color theme="1"/>
        <sz val="9.0"/>
        <u/>
      </rPr>
      <t>Noni</t>
    </r>
    <r>
      <rPr>
        <rFont val="Arial"/>
        <color theme="1"/>
        <sz val="9.0"/>
      </rPr>
      <t xml:space="preserve"> Aurora Radiyanto</t>
    </r>
  </si>
  <si>
    <t>Kak Noni</t>
  </si>
  <si>
    <t>5315055304850001</t>
  </si>
  <si>
    <t>Monika Kati</t>
  </si>
  <si>
    <t>Labuan Bajo</t>
  </si>
  <si>
    <t>13.04.1985</t>
  </si>
  <si>
    <t>0812-3760-4437</t>
  </si>
  <si>
    <t>Admin Bajo</t>
  </si>
  <si>
    <t>NONI AURORA RADIYANT</t>
  </si>
  <si>
    <t>-</t>
  </si>
  <si>
    <t>0001434699303</t>
  </si>
  <si>
    <t>SYM B - 09</t>
  </si>
  <si>
    <r>
      <rPr>
        <rFont val="Arial"/>
        <b/>
        <color theme="1"/>
        <sz val="9.0"/>
        <u/>
      </rPr>
      <t>Pantun</t>
    </r>
    <r>
      <rPr>
        <rFont val="Arial"/>
        <color theme="1"/>
        <sz val="9.0"/>
      </rPr>
      <t xml:space="preserve"> Hutagaol</t>
    </r>
  </si>
  <si>
    <t>Pak Pantun</t>
  </si>
  <si>
    <t>3172031107690001</t>
  </si>
  <si>
    <t>Perum Griya Undagi No. 10 Jl. Sedap Malam Kebon Kuri Kelod, Denpasar Timur, Denpasar</t>
  </si>
  <si>
    <t>Medan</t>
  </si>
  <si>
    <t>11.07.1969</t>
  </si>
  <si>
    <t>Islam</t>
  </si>
  <si>
    <t>0821-7156-1985</t>
  </si>
  <si>
    <t>Head of Finance / Group Controller</t>
  </si>
  <si>
    <t>PKWTT</t>
  </si>
  <si>
    <t>K/2</t>
  </si>
  <si>
    <t>BCA</t>
  </si>
  <si>
    <t>PANTUN HUTAGAOL</t>
  </si>
  <si>
    <t>Created on July</t>
  </si>
  <si>
    <t>0001651011636</t>
  </si>
  <si>
    <t>SWB - 21 - 001</t>
  </si>
  <si>
    <r>
      <rPr>
        <rFont val="Arial"/>
        <b/>
        <color theme="1"/>
        <sz val="9.0"/>
        <u/>
      </rPr>
      <t>Galuh</t>
    </r>
    <r>
      <rPr>
        <rFont val="Arial"/>
        <color theme="1"/>
        <sz val="9.0"/>
      </rPr>
      <t xml:space="preserve"> Peni Novibrianti</t>
    </r>
  </si>
  <si>
    <t>Galuh</t>
  </si>
  <si>
    <t>5171045111840006</t>
  </si>
  <si>
    <t>Perum Bumi Asri Blok B No. 2 Serongga - Gianyar</t>
  </si>
  <si>
    <t>Budi Mastuti</t>
  </si>
  <si>
    <t>Surabaya</t>
  </si>
  <si>
    <t>11.11.1984</t>
  </si>
  <si>
    <t>Hindu</t>
  </si>
  <si>
    <t>0818-0554-7429</t>
  </si>
  <si>
    <t>galuhnovibrianti@gmail.com</t>
  </si>
  <si>
    <t>Finance</t>
  </si>
  <si>
    <t>GALUH PENI NOVIBRIAN</t>
  </si>
  <si>
    <t>0001147362434</t>
  </si>
  <si>
    <t>SYA-26-001</t>
  </si>
  <si>
    <t>Agnes Patrisia Jhonson Koten</t>
  </si>
  <si>
    <t>Tia</t>
  </si>
  <si>
    <t>5308195911030002</t>
  </si>
  <si>
    <t>JL. Durian RT 008 / RW 004 Desa Mautapaga, Ende Timur, NTT</t>
  </si>
  <si>
    <t>Hilaria Melania Mbagho</t>
  </si>
  <si>
    <t>19.11.2003</t>
  </si>
  <si>
    <t>Single</t>
  </si>
  <si>
    <t>0822-2345-7538</t>
  </si>
  <si>
    <t>jhpatrisia@gmail.com</t>
  </si>
  <si>
    <t>Admin</t>
  </si>
  <si>
    <t>1810005079026</t>
  </si>
  <si>
    <t>AGNES PATRISIA JHONSON KOTEN</t>
  </si>
  <si>
    <t>0001894336007</t>
  </si>
  <si>
    <t>SYM B - 02</t>
  </si>
  <si>
    <r>
      <rPr>
        <rFont val="Arial"/>
        <b/>
        <color theme="1"/>
        <sz val="9.0"/>
        <u/>
      </rPr>
      <t>Rosa</t>
    </r>
    <r>
      <rPr>
        <rFont val="Arial"/>
        <color theme="1"/>
        <sz val="9.0"/>
      </rPr>
      <t>lina Sirait</t>
    </r>
  </si>
  <si>
    <t>Rosalina</t>
  </si>
  <si>
    <t>3175025404881001</t>
  </si>
  <si>
    <t>Jalan Batu Topas No. 01 RT/RW 001/10 Kayu Putih, Pulo Gadung Jakarta Timur</t>
  </si>
  <si>
    <t>Maria Elisabeth Bakkara</t>
  </si>
  <si>
    <t>Parapat</t>
  </si>
  <si>
    <t>14.04.1988</t>
  </si>
  <si>
    <t>Divorced</t>
  </si>
  <si>
    <t>0812-9425-2040</t>
  </si>
  <si>
    <t>rosalinasirait.14@gmail.com</t>
  </si>
  <si>
    <t>PA &amp; HRD</t>
  </si>
  <si>
    <t>ROSALINA SIRAIT</t>
  </si>
  <si>
    <t>0001657984645</t>
  </si>
  <si>
    <t>SYM B - 04</t>
  </si>
  <si>
    <r>
      <rPr>
        <rFont val="Arial"/>
        <b/>
        <color theme="1"/>
        <sz val="9.0"/>
        <u/>
      </rPr>
      <t>Ferroz</t>
    </r>
    <r>
      <rPr>
        <rFont val="Arial"/>
        <color theme="1"/>
        <sz val="9.0"/>
      </rPr>
      <t xml:space="preserve"> Rendy Eta</t>
    </r>
  </si>
  <si>
    <t>Ferroz</t>
  </si>
  <si>
    <t>3507112002030001</t>
  </si>
  <si>
    <t>Jl. Blimbing 55, RT 004/ RW 001 Karangkates, Sumber Pucung, Malang, Jawa Timur</t>
  </si>
  <si>
    <t>Nenik Mujiati</t>
  </si>
  <si>
    <t>20.02.2003</t>
  </si>
  <si>
    <t>0857-3865-4674</t>
  </si>
  <si>
    <t>Rendyetaferro@gmail.com</t>
  </si>
  <si>
    <t>Admin Office</t>
  </si>
  <si>
    <t>FERROS RENDY ETA</t>
  </si>
  <si>
    <t>0002415243159</t>
  </si>
  <si>
    <r>
      <rPr>
        <rFont val="Arial"/>
        <b/>
        <color theme="1"/>
        <sz val="9.0"/>
        <u/>
      </rPr>
      <t xml:space="preserve">Efrinda </t>
    </r>
    <r>
      <rPr>
        <rFont val="Arial"/>
        <color theme="1"/>
        <sz val="9.0"/>
      </rPr>
      <t>Pryanka Putri</t>
    </r>
  </si>
  <si>
    <t>Indah</t>
  </si>
  <si>
    <t>5103054404980004</t>
  </si>
  <si>
    <t>Jl. Flamboyan X / B 14 Lingk. Pande Benoa - Kuta Selatan Badung</t>
  </si>
  <si>
    <t>Ambasari</t>
  </si>
  <si>
    <t>Denpasar</t>
  </si>
  <si>
    <t>04.04.1998</t>
  </si>
  <si>
    <t>0878-5558-9557</t>
  </si>
  <si>
    <t>efrindapriyanka04@gmail.com</t>
  </si>
  <si>
    <t>Sales</t>
  </si>
  <si>
    <t>EFRINDA PRYANKA PUTR</t>
  </si>
  <si>
    <t>YES</t>
  </si>
  <si>
    <t>0001857874252</t>
  </si>
  <si>
    <t>SYA-15-002</t>
  </si>
  <si>
    <r>
      <rPr>
        <rFont val="Arial"/>
        <b/>
        <color theme="1"/>
        <sz val="9.0"/>
        <u/>
      </rPr>
      <t xml:space="preserve">Laika </t>
    </r>
    <r>
      <rPr>
        <rFont val="Arial"/>
        <color theme="1"/>
        <sz val="9.0"/>
      </rPr>
      <t>Rani</t>
    </r>
  </si>
  <si>
    <t>Laika</t>
  </si>
  <si>
    <t>5171014509810005</t>
  </si>
  <si>
    <t>Jl. Pasraman Unud Blok B No. 42 Jimbaran - Kuta</t>
  </si>
  <si>
    <t>Ade Asih</t>
  </si>
  <si>
    <t>Bandung</t>
  </si>
  <si>
    <t>28.09.1981</t>
  </si>
  <si>
    <t>0818-0555-5324</t>
  </si>
  <si>
    <t>justlaika@gmail.com</t>
  </si>
  <si>
    <t>LAIKA RANI</t>
  </si>
  <si>
    <t>0002108140593</t>
  </si>
  <si>
    <t>SYA-25-001</t>
  </si>
  <si>
    <r>
      <rPr>
        <rFont val="Arial"/>
        <b/>
        <color theme="1"/>
        <sz val="9.0"/>
        <u/>
      </rPr>
      <t>Wiwin</t>
    </r>
    <r>
      <rPr>
        <rFont val="Arial"/>
        <color theme="1"/>
        <sz val="9.0"/>
      </rPr>
      <t xml:space="preserve"> Ayu Lestari</t>
    </r>
  </si>
  <si>
    <t>Wiwin</t>
  </si>
  <si>
    <t>5103056107920012</t>
  </si>
  <si>
    <t>BR. Tenipis Dusun, Tengipis, Payangan Gianyar Bali</t>
  </si>
  <si>
    <t>Susiati</t>
  </si>
  <si>
    <t>Banyuwangi</t>
  </si>
  <si>
    <t>22.07.1993</t>
  </si>
  <si>
    <t>0857-9288-5014</t>
  </si>
  <si>
    <t>wiwin4yu@gmail.com</t>
  </si>
  <si>
    <t>WIWIN AYU LESTARI</t>
  </si>
  <si>
    <t>0001155581717</t>
  </si>
  <si>
    <r>
      <rPr>
        <rFont val="Arial"/>
        <color theme="1"/>
        <sz val="9.0"/>
      </rPr>
      <t xml:space="preserve">Kadek Yunta </t>
    </r>
    <r>
      <rPr>
        <rFont val="Arial"/>
        <b/>
        <color theme="1"/>
        <sz val="9.0"/>
        <u/>
      </rPr>
      <t>Dwi</t>
    </r>
    <r>
      <rPr>
        <rFont val="Arial"/>
        <color theme="1"/>
        <sz val="9.0"/>
      </rPr>
      <t xml:space="preserve"> Saputri</t>
    </r>
  </si>
  <si>
    <t>Dwi</t>
  </si>
  <si>
    <t>5102106503970002</t>
  </si>
  <si>
    <t>Banjar Dinas Suradadi Desa belimbing Kec. Pupuan Tabanan</t>
  </si>
  <si>
    <t>Ni Wayan Arianti S. PD</t>
  </si>
  <si>
    <t>Belimbing</t>
  </si>
  <si>
    <t>25.03.1997</t>
  </si>
  <si>
    <t>0857-4604-2515</t>
  </si>
  <si>
    <t>yunita250397@gmail.com</t>
  </si>
  <si>
    <t>KADEK YUNITA DWI SAP</t>
  </si>
  <si>
    <t>0000976939446</t>
  </si>
  <si>
    <t>SYA-26-002</t>
  </si>
  <si>
    <r>
      <rPr>
        <rFont val="Arial"/>
        <color theme="1"/>
        <sz val="9.0"/>
      </rPr>
      <t xml:space="preserve">Desak Agung </t>
    </r>
    <r>
      <rPr>
        <rFont val="Arial"/>
        <b/>
        <color theme="1"/>
        <sz val="9.0"/>
        <u/>
      </rPr>
      <t>Wulan</t>
    </r>
    <r>
      <rPr>
        <rFont val="Arial"/>
        <color theme="1"/>
        <sz val="9.0"/>
      </rPr>
      <t xml:space="preserve"> Maharani</t>
    </r>
  </si>
  <si>
    <t>Wulan</t>
  </si>
  <si>
    <t>5171014710970006</t>
  </si>
  <si>
    <t>Jalan P. Belitung GG I/2X DPS Geladag Dusun Geladag, Pedungan Denpasar Selatan</t>
  </si>
  <si>
    <t>A. A. Kompiang Oka Suastini</t>
  </si>
  <si>
    <t>07.10.1997</t>
  </si>
  <si>
    <t>0821-4494-3501</t>
  </si>
  <si>
    <t>wulanmaharn@gmail.com</t>
  </si>
  <si>
    <t>Probation</t>
  </si>
  <si>
    <t>DESAK AGUNG WULAN MAHARANI</t>
  </si>
  <si>
    <t>After Probation</t>
  </si>
  <si>
    <t>SYM B - 05</t>
  </si>
  <si>
    <r>
      <rPr>
        <rFont val="Arial"/>
        <color theme="1"/>
        <sz val="9.0"/>
      </rPr>
      <t>I Putu San</t>
    </r>
    <r>
      <rPr>
        <rFont val="Arial"/>
        <b/>
        <color theme="1"/>
        <sz val="9.0"/>
        <u/>
      </rPr>
      <t>jay</t>
    </r>
    <r>
      <rPr>
        <rFont val="Arial"/>
        <color theme="1"/>
        <sz val="9.0"/>
      </rPr>
      <t>a Margianta</t>
    </r>
  </si>
  <si>
    <t>Jay</t>
  </si>
  <si>
    <t>5171040208880002</t>
  </si>
  <si>
    <t>Jalan Ken Arok No. 15 Dakdakan, Peguyangan - Denpasar Utara</t>
  </si>
  <si>
    <t>I Wayan Sarniati</t>
  </si>
  <si>
    <t>01.08.1988</t>
  </si>
  <si>
    <t>0878-6199-8882</t>
  </si>
  <si>
    <t>jay.margianta@samaraliveaboard.com</t>
  </si>
  <si>
    <t>SEO / SEM</t>
  </si>
  <si>
    <t>I PUTU SANJAYA MARGI</t>
  </si>
  <si>
    <t xml:space="preserve">0001576590759        </t>
  </si>
  <si>
    <t>SYM B - 06</t>
  </si>
  <si>
    <t xml:space="preserve">I Gusti Ngurah Agung Yogi Swara </t>
  </si>
  <si>
    <t>Gungwa</t>
  </si>
  <si>
    <t>5104011602970001</t>
  </si>
  <si>
    <t>Jl. Kutilang, Br. Pekuwudan Sukawati - Gianyar</t>
  </si>
  <si>
    <t>I Desak Ketut Santi</t>
  </si>
  <si>
    <t>16.02.1997</t>
  </si>
  <si>
    <t>0897-0464-508</t>
  </si>
  <si>
    <t>wahgung97@gmail.com</t>
  </si>
  <si>
    <t>Content Manager</t>
  </si>
  <si>
    <t>I GUSTI NGURAH AGUNG</t>
  </si>
  <si>
    <t>0002108122907</t>
  </si>
  <si>
    <t>SYM B - 07</t>
  </si>
  <si>
    <r>
      <rPr>
        <rFont val="Arial"/>
        <color theme="1"/>
        <sz val="9.0"/>
      </rPr>
      <t xml:space="preserve">Dewa Ayu </t>
    </r>
    <r>
      <rPr>
        <rFont val="Arial"/>
        <b/>
        <color theme="1"/>
        <sz val="9.0"/>
        <u/>
      </rPr>
      <t>Osa</t>
    </r>
    <r>
      <rPr>
        <rFont val="Arial"/>
        <color theme="1"/>
        <sz val="9.0"/>
      </rPr>
      <t xml:space="preserve"> Rianti</t>
    </r>
  </si>
  <si>
    <t>Osa</t>
  </si>
  <si>
    <t>5104065806000003</t>
  </si>
  <si>
    <t>Br. Triwangsa Tegalalang Gianyar</t>
  </si>
  <si>
    <t>I Dewa Ayu  Putri Arioka Mas</t>
  </si>
  <si>
    <t>18.05.2000</t>
  </si>
  <si>
    <t>0878-6133-0328</t>
  </si>
  <si>
    <t>osarianty@gmail.com</t>
  </si>
  <si>
    <t>Content Creator</t>
  </si>
  <si>
    <t>DEWA AYU OSA RIANTY</t>
  </si>
  <si>
    <t>0003582380529</t>
  </si>
  <si>
    <t>SYM B - 08</t>
  </si>
  <si>
    <r>
      <rPr>
        <rFont val="Arial"/>
        <b/>
        <color theme="1"/>
        <sz val="9.0"/>
        <u/>
      </rPr>
      <t>Roy</t>
    </r>
    <r>
      <rPr>
        <rFont val="Arial"/>
        <color theme="1"/>
        <sz val="9.0"/>
      </rPr>
      <t>nald Oktaviano Kalee</t>
    </r>
  </si>
  <si>
    <t>Roy</t>
  </si>
  <si>
    <t>3578150410990002</t>
  </si>
  <si>
    <t>Demak Timur 8/36 RT 008 / RW 006 Desa Gundih, Kec. Bubutan Surabaya</t>
  </si>
  <si>
    <t>Suwi Esti Wahyuningsih</t>
  </si>
  <si>
    <t>04.10.1999</t>
  </si>
  <si>
    <t>0899-3994-131</t>
  </si>
  <si>
    <t>roynald.okta@gmail.com</t>
  </si>
  <si>
    <t>SEO</t>
  </si>
  <si>
    <t>ROYNALD OKTAVIANO KA</t>
  </si>
  <si>
    <t>0002205913735</t>
  </si>
  <si>
    <t>Maharani Francin Meryl Sompotan</t>
  </si>
  <si>
    <t>Meryl</t>
  </si>
  <si>
    <t>+62 898-0896-611</t>
  </si>
  <si>
    <t>Marketing Director</t>
  </si>
  <si>
    <t>SYM 01 - 01</t>
  </si>
  <si>
    <r>
      <rPr>
        <rFont val="Arial"/>
        <b/>
        <color theme="1"/>
        <sz val="9.0"/>
        <u/>
      </rPr>
      <t>Wilh</t>
    </r>
    <r>
      <rPr>
        <rFont val="Arial"/>
        <color theme="1"/>
        <sz val="9.0"/>
      </rPr>
      <t xml:space="preserve">elmus Wagut </t>
    </r>
  </si>
  <si>
    <t>Captain Will</t>
  </si>
  <si>
    <t>5310050811880003</t>
  </si>
  <si>
    <t>Kompleks Bandara Gg. Sukun Rt 008 Rw 004 Desa Batu Cermin Kec. Komodo</t>
  </si>
  <si>
    <t>Margareta Jaus</t>
  </si>
  <si>
    <t>Gara</t>
  </si>
  <si>
    <t>07.05.1987</t>
  </si>
  <si>
    <t>0812-3885-0336</t>
  </si>
  <si>
    <t>wagutw@gmail.com</t>
  </si>
  <si>
    <t>Bajo - Sumbawa</t>
  </si>
  <si>
    <t>SAMARA - 1</t>
  </si>
  <si>
    <t xml:space="preserve">Captain </t>
  </si>
  <si>
    <t>WILHELMUS WAGUT</t>
  </si>
  <si>
    <t>0002915398135</t>
  </si>
  <si>
    <t>SYM 01 - 02</t>
  </si>
  <si>
    <t xml:space="preserve">Hilarius Ritu </t>
  </si>
  <si>
    <t>Aris</t>
  </si>
  <si>
    <t>5315051301940002</t>
  </si>
  <si>
    <t>Lamtoro Rt 008 Rw004, Labuan Bajo - Komodo</t>
  </si>
  <si>
    <t>Marcelina Bunga</t>
  </si>
  <si>
    <t>Ngedubesi</t>
  </si>
  <si>
    <t>13.01.1994</t>
  </si>
  <si>
    <t>0812-4699-8155</t>
  </si>
  <si>
    <t>hilariusritu70@gmail.com</t>
  </si>
  <si>
    <t xml:space="preserve">Guest Officer </t>
  </si>
  <si>
    <t>HILARIUS RITU</t>
  </si>
  <si>
    <t>0001578480456</t>
  </si>
  <si>
    <t>SYM 01 - 03</t>
  </si>
  <si>
    <t>Hendrikus Edison Ajas</t>
  </si>
  <si>
    <t>Meidy</t>
  </si>
  <si>
    <t>5310060703970003</t>
  </si>
  <si>
    <t>Kuwu Rt 007 Rw 004 Desa Nenu, Kec Cibal Kab. Manggarai</t>
  </si>
  <si>
    <t>Margareta Dimut</t>
  </si>
  <si>
    <t>Kuwu</t>
  </si>
  <si>
    <t>07.03.1997</t>
  </si>
  <si>
    <t>0812-1293-8398</t>
  </si>
  <si>
    <t>edysinajas14@gmail.com</t>
  </si>
  <si>
    <t>Tenderboat</t>
  </si>
  <si>
    <t>K/1</t>
  </si>
  <si>
    <t>HENDRIKUS EDISON AJA</t>
  </si>
  <si>
    <t>0002957208467</t>
  </si>
  <si>
    <t>SYM 01 - 04</t>
  </si>
  <si>
    <r>
      <rPr>
        <rFont val="Arial"/>
        <b/>
        <color theme="1"/>
        <sz val="9.0"/>
        <u/>
      </rPr>
      <t>Gonsi</t>
    </r>
    <r>
      <rPr>
        <rFont val="Arial"/>
        <color theme="1"/>
        <sz val="9.0"/>
      </rPr>
      <t>anus Haryanto</t>
    </r>
  </si>
  <si>
    <t>Gonsi</t>
  </si>
  <si>
    <t>5315072410020001</t>
  </si>
  <si>
    <t>Nggolo, RT 001 Rw 001 Desa Golo Ndari, Kec. Welak</t>
  </si>
  <si>
    <t>Veronika Nahul</t>
  </si>
  <si>
    <t>Nggolo</t>
  </si>
  <si>
    <t>24.10.2002</t>
  </si>
  <si>
    <t>0813-3876-1159</t>
  </si>
  <si>
    <t>onchiyka@gmail.com</t>
  </si>
  <si>
    <t>Chef</t>
  </si>
  <si>
    <t>GONSIANUS HARYANTO</t>
  </si>
  <si>
    <t>0000866055093</t>
  </si>
  <si>
    <t>SYM 01 - 05</t>
  </si>
  <si>
    <r>
      <rPr>
        <rFont val="Arial"/>
        <b/>
        <color theme="1"/>
        <sz val="9.0"/>
        <u/>
      </rPr>
      <t>Oswal</t>
    </r>
    <r>
      <rPr>
        <rFont val="Arial"/>
        <color theme="1"/>
        <sz val="9.0"/>
      </rPr>
      <t>dus Sudarso</t>
    </r>
  </si>
  <si>
    <t>Oswal</t>
  </si>
  <si>
    <t>5315060908990002</t>
  </si>
  <si>
    <t>Mbuit, Rt 007 Rw 003 Desa Mbuit Boleg</t>
  </si>
  <si>
    <t>Mathilda Lukas</t>
  </si>
  <si>
    <t>Berheleng</t>
  </si>
  <si>
    <t>09.08.1999</t>
  </si>
  <si>
    <t>0812-3922-8426</t>
  </si>
  <si>
    <t>oswaldsherly@gmail.com</t>
  </si>
  <si>
    <t>Assistant Chef</t>
  </si>
  <si>
    <t>OSWALDUS SUDARSO</t>
  </si>
  <si>
    <t>0000865533374</t>
  </si>
  <si>
    <t>SYM 01 - 06</t>
  </si>
  <si>
    <r>
      <rPr>
        <rFont val="Arial"/>
        <b/>
        <color theme="1"/>
        <sz val="9.0"/>
        <u/>
      </rPr>
      <t>Nas</t>
    </r>
    <r>
      <rPr>
        <rFont val="Arial"/>
        <color theme="1"/>
        <sz val="9.0"/>
      </rPr>
      <t>iruddin</t>
    </r>
  </si>
  <si>
    <t>Bas Nas</t>
  </si>
  <si>
    <t>7302032810820002</t>
  </si>
  <si>
    <t>Dusun Dauhe Darubiah Kec. Bonto Bahari Bulukumba</t>
  </si>
  <si>
    <t>Masnawati</t>
  </si>
  <si>
    <t>Bira</t>
  </si>
  <si>
    <t>28.10.1982</t>
  </si>
  <si>
    <t>0821-9348-1213</t>
  </si>
  <si>
    <t>ganjarnoxzelpilotdrone@gmail.com</t>
  </si>
  <si>
    <t>KKM</t>
  </si>
  <si>
    <t>NASIRUDDIN</t>
  </si>
  <si>
    <t>0002324072305</t>
  </si>
  <si>
    <t>SYM 01 - 07</t>
  </si>
  <si>
    <r>
      <rPr>
        <rFont val="Arial"/>
        <b/>
        <color theme="1"/>
        <sz val="9.0"/>
        <u/>
      </rPr>
      <t xml:space="preserve">Walmin </t>
    </r>
    <r>
      <rPr>
        <rFont val="Arial"/>
        <color theme="1"/>
        <sz val="9.0"/>
      </rPr>
      <t>Hamzah Ras</t>
    </r>
  </si>
  <si>
    <t>Walmin</t>
  </si>
  <si>
    <t>5315056405020002</t>
  </si>
  <si>
    <t>Kampung Ujung Rt/Rw 003/002 Labuan Bajo Komodo Manggarai Barat NTT</t>
  </si>
  <si>
    <t>Andasiah</t>
  </si>
  <si>
    <t>Nangadhero</t>
  </si>
  <si>
    <t>24.05.2002</t>
  </si>
  <si>
    <t>0812-3871-5655</t>
  </si>
  <si>
    <t>walmhyn@gmail.com</t>
  </si>
  <si>
    <t>Photografer</t>
  </si>
  <si>
    <t>WALMIN HAMZAH RAZ</t>
  </si>
  <si>
    <t>0002820300805</t>
  </si>
  <si>
    <t>SYM 01 - 08</t>
  </si>
  <si>
    <r>
      <rPr>
        <rFont val="Arial"/>
        <b/>
        <color theme="1"/>
        <sz val="9.0"/>
        <u/>
      </rPr>
      <t xml:space="preserve">Geri </t>
    </r>
    <r>
      <rPr>
        <rFont val="Arial"/>
        <color theme="1"/>
        <sz val="9.0"/>
      </rPr>
      <t>Fransiskus Galis</t>
    </r>
  </si>
  <si>
    <t>Geri</t>
  </si>
  <si>
    <t>5315062306040005</t>
  </si>
  <si>
    <t>Berheleng, RT 006/RW003, Mbuit, Boleng</t>
  </si>
  <si>
    <t>Maria Imakulata Iwul</t>
  </si>
  <si>
    <t>Maluk</t>
  </si>
  <si>
    <t>23.06.2004</t>
  </si>
  <si>
    <t>0812-3854-0488</t>
  </si>
  <si>
    <t>Housekeeping</t>
  </si>
  <si>
    <t>GERI FRANSISKUS GALIH</t>
  </si>
  <si>
    <t>0000866597578</t>
  </si>
  <si>
    <t>SYM 02 - 01</t>
  </si>
  <si>
    <r>
      <rPr>
        <rFont val="Arial"/>
        <b/>
        <color theme="1"/>
        <sz val="9.0"/>
        <u/>
      </rPr>
      <t>Stef</t>
    </r>
    <r>
      <rPr>
        <rFont val="Arial"/>
        <color theme="1"/>
        <sz val="9.0"/>
      </rPr>
      <t>anus Dhawu</t>
    </r>
  </si>
  <si>
    <t>Captain Stefanus</t>
  </si>
  <si>
    <t>5315052403790002</t>
  </si>
  <si>
    <t>Lancang Rt 011 Rw 004 Desa Waekelambu, Kec. Komodo, Manggarai Barat</t>
  </si>
  <si>
    <t>V Jawa</t>
  </si>
  <si>
    <t>Ruto</t>
  </si>
  <si>
    <t>24.03.1979</t>
  </si>
  <si>
    <t>0851-3370-1984</t>
  </si>
  <si>
    <t>stefanusdhawu@gmail.com</t>
  </si>
  <si>
    <t>SAMARA - 2</t>
  </si>
  <si>
    <t>STEFANUS DHAWU</t>
  </si>
  <si>
    <t>0002074746363</t>
  </si>
  <si>
    <t>SYM 02 - 02</t>
  </si>
  <si>
    <r>
      <rPr>
        <rFont val="Arial"/>
        <b/>
        <color theme="1"/>
        <sz val="9.0"/>
        <u/>
      </rPr>
      <t>Alfons</t>
    </r>
    <r>
      <rPr>
        <rFont val="Arial"/>
        <color theme="1"/>
        <sz val="9.0"/>
      </rPr>
      <t>us Ligori Gat</t>
    </r>
  </si>
  <si>
    <t>Bas Alfons</t>
  </si>
  <si>
    <t>5315054108860003</t>
  </si>
  <si>
    <t>Lancang Rt 010 Rw 004 Desa Waekelambu, Kec. Komodo, Manggarai Barat</t>
  </si>
  <si>
    <t>Regina Nila</t>
  </si>
  <si>
    <t>Lancang</t>
  </si>
  <si>
    <t>01.08.1989</t>
  </si>
  <si>
    <t>0812-3431-0382</t>
  </si>
  <si>
    <t>alfonsligori4@gmail.com</t>
  </si>
  <si>
    <t>ALFONSUS LIGORI GAT</t>
  </si>
  <si>
    <t>‭0002758135318‬</t>
  </si>
  <si>
    <t>SYM 02 - 03</t>
  </si>
  <si>
    <t>Rusman</t>
  </si>
  <si>
    <t>5315031311900002</t>
  </si>
  <si>
    <t>Weko Rt 004 Rw 002 Desa Nanga Bere, Kec. Lembor Selatan, Manggarai</t>
  </si>
  <si>
    <t>Siti Semila</t>
  </si>
  <si>
    <t>Weko</t>
  </si>
  <si>
    <t>13.11.1990</t>
  </si>
  <si>
    <t>0812-3623-6887</t>
  </si>
  <si>
    <t>Tororusman6@gmail.com</t>
  </si>
  <si>
    <t>RUSMAN</t>
  </si>
  <si>
    <t>0000865313087</t>
  </si>
  <si>
    <t>SYM 02 - 04</t>
  </si>
  <si>
    <t xml:space="preserve">Asrul </t>
  </si>
  <si>
    <t>Buyung</t>
  </si>
  <si>
    <t>7302033112890025</t>
  </si>
  <si>
    <t>Lingk. Doajang Rt 003 Rw 003 Desa Tanah Beru, Kec. Bonto Bahari Bulukumba</t>
  </si>
  <si>
    <t>Saerah</t>
  </si>
  <si>
    <t>Tanah Beru</t>
  </si>
  <si>
    <t>31.12.1989</t>
  </si>
  <si>
    <t>0823-4033-9002</t>
  </si>
  <si>
    <t>jiihan2023@gmail.com</t>
  </si>
  <si>
    <t>Deckhand</t>
  </si>
  <si>
    <t>ASRUL</t>
  </si>
  <si>
    <t>0001556008086</t>
  </si>
  <si>
    <t>SYM 02 - 05</t>
  </si>
  <si>
    <t>Rudolfus Nay</t>
  </si>
  <si>
    <t>Oscar</t>
  </si>
  <si>
    <t>5316040710920001</t>
  </si>
  <si>
    <t>Wae Kesambi, Rt 002 Rw 000 Desa Batu Cermin Kec. Komodo</t>
  </si>
  <si>
    <t>Bernadetha Dhone</t>
  </si>
  <si>
    <t>Boloroga</t>
  </si>
  <si>
    <t>07.10.1992</t>
  </si>
  <si>
    <t>0812-3862-2358</t>
  </si>
  <si>
    <t>Oscarnai861@gmail.com</t>
  </si>
  <si>
    <t>RUDOLFUS NAI</t>
  </si>
  <si>
    <t>0001671914935</t>
  </si>
  <si>
    <t>SYM 02 - 06</t>
  </si>
  <si>
    <t xml:space="preserve">Yustinus Hatu </t>
  </si>
  <si>
    <t>Yusen</t>
  </si>
  <si>
    <t>5310050106980004</t>
  </si>
  <si>
    <t>Tado Rt 005  / Rw 003 Desa Tado, Kec Satarmese, Manggarai</t>
  </si>
  <si>
    <t>Lusia Lunjung</t>
  </si>
  <si>
    <t>Tado</t>
  </si>
  <si>
    <t>01.06.1998</t>
  </si>
  <si>
    <t>0851-3773-4010</t>
  </si>
  <si>
    <t>yusenhatu912@gmail.com</t>
  </si>
  <si>
    <t>YUSTINUS HATU</t>
  </si>
  <si>
    <t>0002819911375</t>
  </si>
  <si>
    <t>SWB MC - 01</t>
  </si>
  <si>
    <r>
      <rPr>
        <rFont val="Arial"/>
        <b/>
        <color theme="1"/>
        <sz val="9.0"/>
        <u/>
      </rPr>
      <t xml:space="preserve">David </t>
    </r>
    <r>
      <rPr>
        <rFont val="Arial"/>
        <color theme="1"/>
        <sz val="9.0"/>
      </rPr>
      <t>Duran Royo</t>
    </r>
  </si>
  <si>
    <t>David</t>
  </si>
  <si>
    <t>Spain</t>
  </si>
  <si>
    <t>PAF927867</t>
  </si>
  <si>
    <t>Barcelona</t>
  </si>
  <si>
    <t>19.01.1977</t>
  </si>
  <si>
    <t>0852-5890-9451</t>
  </si>
  <si>
    <t>ddr1977@gmail.com</t>
  </si>
  <si>
    <t>Bajo - Raja Ampat</t>
  </si>
  <si>
    <t>MISCHIEF</t>
  </si>
  <si>
    <t>Cruise Director</t>
  </si>
  <si>
    <t>DAVID DURAN ROYO</t>
  </si>
  <si>
    <t>24117730606</t>
  </si>
  <si>
    <t>SWB - 23 - 001</t>
  </si>
  <si>
    <t>Irsan</t>
  </si>
  <si>
    <t>Captain Irsan</t>
  </si>
  <si>
    <t>5206060107960283</t>
  </si>
  <si>
    <t>Lamere Rt 006 Rw 004 Desa Lamere, Kec. Sape</t>
  </si>
  <si>
    <t>Misnawati</t>
  </si>
  <si>
    <t>Lamere</t>
  </si>
  <si>
    <t>06.06.1998</t>
  </si>
  <si>
    <t>0812-3733-9587</t>
  </si>
  <si>
    <t>irsan9897@gmail.com</t>
  </si>
  <si>
    <t>Captain</t>
  </si>
  <si>
    <t>IRSAN</t>
  </si>
  <si>
    <t>0001906386028</t>
  </si>
  <si>
    <t>SWB - 23 - 002</t>
  </si>
  <si>
    <r>
      <rPr>
        <rFont val="Arial"/>
        <b/>
        <color theme="1"/>
        <sz val="9.0"/>
        <u/>
      </rPr>
      <t>Yori</t>
    </r>
    <r>
      <rPr>
        <rFont val="Arial"/>
        <color theme="1"/>
        <sz val="9.0"/>
      </rPr>
      <t xml:space="preserve"> Maitimu</t>
    </r>
  </si>
  <si>
    <t>Bas Yori</t>
  </si>
  <si>
    <t>5315052109780001</t>
  </si>
  <si>
    <t>Gorontalo, Rt 018 Rw006, Kec. Komodo</t>
  </si>
  <si>
    <t>Phetronela B. Maitimu</t>
  </si>
  <si>
    <t>Ambon</t>
  </si>
  <si>
    <t>21.09.1978</t>
  </si>
  <si>
    <t>0822-3537-5445</t>
  </si>
  <si>
    <t>yorimaitimu@gmail.com</t>
  </si>
  <si>
    <t>Oiler</t>
  </si>
  <si>
    <t>YORI MAITIMU</t>
  </si>
  <si>
    <t>0002955830084</t>
  </si>
  <si>
    <t>SWB - 24 - 001</t>
  </si>
  <si>
    <r>
      <rPr>
        <rFont val="Arial"/>
        <color theme="1"/>
        <sz val="9.0"/>
      </rPr>
      <t xml:space="preserve">Alfonsus </t>
    </r>
    <r>
      <rPr>
        <rFont val="Arial"/>
        <b/>
        <color theme="1"/>
        <sz val="9.0"/>
        <u/>
      </rPr>
      <t>Sandro</t>
    </r>
    <r>
      <rPr>
        <rFont val="Arial"/>
        <color theme="1"/>
        <sz val="9.0"/>
      </rPr>
      <t xml:space="preserve"> Radu</t>
    </r>
  </si>
  <si>
    <t>Sandro</t>
  </si>
  <si>
    <t>5315033005000002</t>
  </si>
  <si>
    <t>Golo Lajar Rt 029 Rw 007, Desa Wae Mowol, Kec. Lembor</t>
  </si>
  <si>
    <t>Rosalia Geni</t>
  </si>
  <si>
    <t>Golo Lajar</t>
  </si>
  <si>
    <t>30.05.2000</t>
  </si>
  <si>
    <t>0822-6635-4064</t>
  </si>
  <si>
    <t>sandroradu1@gmail.com</t>
  </si>
  <si>
    <t>ALFONSIUS SANDRO RAD</t>
  </si>
  <si>
    <t>0000866052178</t>
  </si>
  <si>
    <t>SWB - 24 - 002</t>
  </si>
  <si>
    <r>
      <rPr>
        <rFont val="Arial"/>
        <b/>
        <color theme="1"/>
        <sz val="9.0"/>
        <u/>
      </rPr>
      <t xml:space="preserve">Adi </t>
    </r>
    <r>
      <rPr>
        <rFont val="Arial"/>
        <color theme="1"/>
        <sz val="9.0"/>
      </rPr>
      <t>Usman</t>
    </r>
  </si>
  <si>
    <t>Adi</t>
  </si>
  <si>
    <t>5202050107900279</t>
  </si>
  <si>
    <t>Kampih - Batujai, Praya Barat, Lombok Tengah</t>
  </si>
  <si>
    <t>Atri</t>
  </si>
  <si>
    <t>Dasan Kampih</t>
  </si>
  <si>
    <t>31.12.1990</t>
  </si>
  <si>
    <t>0811-3941-4844</t>
  </si>
  <si>
    <t>uadi97368@gmail.com</t>
  </si>
  <si>
    <t>Bartender</t>
  </si>
  <si>
    <t>ADI USMAN</t>
  </si>
  <si>
    <t>YES (asking about the calculation)</t>
  </si>
  <si>
    <t>0001318263186</t>
  </si>
  <si>
    <t>SWB - 24 - 003</t>
  </si>
  <si>
    <r>
      <rPr>
        <rFont val="Arial"/>
        <color theme="1"/>
        <sz val="9.0"/>
      </rPr>
      <t>Suriy</t>
    </r>
    <r>
      <rPr>
        <rFont val="Arial"/>
        <b/>
        <color theme="1"/>
        <sz val="9.0"/>
        <u/>
      </rPr>
      <t>adi</t>
    </r>
  </si>
  <si>
    <t>Bas Adi</t>
  </si>
  <si>
    <t>7371091506930006</t>
  </si>
  <si>
    <t>Mbuit, Boleng, RT1/RW1, Manggarai Barat</t>
  </si>
  <si>
    <t>Minah</t>
  </si>
  <si>
    <t>Lando</t>
  </si>
  <si>
    <t>15.06.1993</t>
  </si>
  <si>
    <t>0813-3007-8822</t>
  </si>
  <si>
    <t>suriyadi939@gmail.com</t>
  </si>
  <si>
    <t>SURIYADI</t>
  </si>
  <si>
    <t>0002662916466</t>
  </si>
  <si>
    <t>SWB - 24 - 004</t>
  </si>
  <si>
    <r>
      <rPr>
        <rFont val="Arial"/>
        <b/>
        <color theme="1"/>
        <sz val="9.0"/>
        <u/>
      </rPr>
      <t>Vinsen</t>
    </r>
    <r>
      <rPr>
        <rFont val="Arial"/>
        <color theme="1"/>
        <sz val="9.0"/>
      </rPr>
      <t>sius Sutrian</t>
    </r>
  </si>
  <si>
    <t>Vinsen</t>
  </si>
  <si>
    <t>5315062603990001</t>
  </si>
  <si>
    <t>Golo Garang, RT 13 / RW 13, Golo Sepang, Boleng, Manggarat Barat, NTT</t>
  </si>
  <si>
    <t>Ndehek</t>
  </si>
  <si>
    <t>26.03.1999</t>
  </si>
  <si>
    <t>0821-4623-4964</t>
  </si>
  <si>
    <t>sutrianv@gmail.com</t>
  </si>
  <si>
    <t>VINSENSIUS SUTRIAN</t>
  </si>
  <si>
    <t>0002751882041</t>
  </si>
  <si>
    <t>SWB - 26 - 003</t>
  </si>
  <si>
    <r>
      <rPr>
        <rFont val="Arial"/>
        <b/>
        <color theme="1"/>
        <sz val="9.0"/>
        <u/>
      </rPr>
      <t>Ferdi</t>
    </r>
    <r>
      <rPr>
        <rFont val="Arial"/>
        <color theme="1"/>
        <sz val="9.0"/>
      </rPr>
      <t>ansa Frian Samuel Walean</t>
    </r>
  </si>
  <si>
    <t>Chef Ferdi</t>
  </si>
  <si>
    <t>7171081708940001</t>
  </si>
  <si>
    <t>Jl. Raya Kampial A/25 Lingkungan Menesa, Benoa, Kuta Selatan - Badung, Bali</t>
  </si>
  <si>
    <t>Lahea Meriani</t>
  </si>
  <si>
    <t>Kolongan</t>
  </si>
  <si>
    <t>17.08.1994</t>
  </si>
  <si>
    <t>0857-9231-7775</t>
  </si>
  <si>
    <t>Ferdiansawalean@gmail.com</t>
  </si>
  <si>
    <t>2 months</t>
  </si>
  <si>
    <t>Head Chef</t>
  </si>
  <si>
    <t>Percobaan</t>
  </si>
  <si>
    <t>7720938779</t>
  </si>
  <si>
    <t>FERDIANSA FRIAN SAMUEL W</t>
  </si>
  <si>
    <t>0001577451925</t>
  </si>
  <si>
    <t>SWB - 26 - 001</t>
  </si>
  <si>
    <r>
      <rPr>
        <rFont val="Arial"/>
        <b/>
        <color theme="1"/>
        <sz val="9.0"/>
        <u/>
      </rPr>
      <t>Richard</t>
    </r>
    <r>
      <rPr>
        <rFont val="Arial"/>
        <color theme="1"/>
        <sz val="9.0"/>
      </rPr>
      <t xml:space="preserve"> Ryan Junior Lindikurung</t>
    </r>
  </si>
  <si>
    <t>Richard</t>
  </si>
  <si>
    <t>5307192602050001</t>
  </si>
  <si>
    <t>Magedoa, RT 003/ RW 002 Desa Langir, Kecamatan Kangae - Sikka, NTT</t>
  </si>
  <si>
    <t>Fransiska Aloysia Nggrita</t>
  </si>
  <si>
    <t>26.02.2005</t>
  </si>
  <si>
    <t>Waiter</t>
  </si>
  <si>
    <t>1450015785005</t>
  </si>
  <si>
    <t>RICHARD RYAN JUNIOR</t>
  </si>
  <si>
    <t>0002045049006</t>
  </si>
  <si>
    <t>SWB - 26 - 002</t>
  </si>
  <si>
    <r>
      <rPr>
        <rFont val="Arial"/>
        <b/>
        <color theme="1"/>
        <sz val="9.0"/>
        <u/>
      </rPr>
      <t>Febri</t>
    </r>
    <r>
      <rPr>
        <rFont val="Arial"/>
        <color theme="1"/>
        <sz val="9.0"/>
      </rPr>
      <t>anus Renta</t>
    </r>
  </si>
  <si>
    <t>Chef Febri</t>
  </si>
  <si>
    <t>5310010102970002</t>
  </si>
  <si>
    <t>Ting Tuke, RT 003 / RW 002, Satar Ngkeung Wae RII, Manggarai - NTT</t>
  </si>
  <si>
    <t>Flaviana Dewi</t>
  </si>
  <si>
    <t>Ting</t>
  </si>
  <si>
    <t>01.02.1997</t>
  </si>
  <si>
    <t>FEBRIANUS RENTA</t>
  </si>
  <si>
    <t>0002408187317</t>
  </si>
  <si>
    <t>SWB - 26 - 004</t>
  </si>
  <si>
    <r>
      <rPr>
        <rFont val="Roboto"/>
        <b/>
        <color theme="1"/>
        <u/>
      </rPr>
      <t xml:space="preserve">Syamsul </t>
    </r>
    <r>
      <rPr>
        <rFont val="Roboto"/>
        <color theme="1"/>
      </rPr>
      <t>Alam</t>
    </r>
  </si>
  <si>
    <t>Chief Syamsul</t>
  </si>
  <si>
    <t>7302023007910005</t>
  </si>
  <si>
    <t>Chief Officer</t>
  </si>
  <si>
    <t>SWB OT - 02</t>
  </si>
  <si>
    <r>
      <rPr>
        <rFont val="Arial"/>
        <b/>
        <color theme="1"/>
        <sz val="9.0"/>
        <u/>
      </rPr>
      <t>Andi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>Bahar</t>
    </r>
  </si>
  <si>
    <t>Captain Andi</t>
  </si>
  <si>
    <t>7306073107780005</t>
  </si>
  <si>
    <t>BTN Nusa Indah Blok D 22/2 RT 004 / RW 002 Bontoala, Pallangga, Gowa Sulawesi Selatan</t>
  </si>
  <si>
    <t>Raja Lawa</t>
  </si>
  <si>
    <t>Palembang</t>
  </si>
  <si>
    <t>31.07.1978</t>
  </si>
  <si>
    <t>0813-8149-0529</t>
  </si>
  <si>
    <t>andibahar1978@gmail.com</t>
  </si>
  <si>
    <t>OTIUM</t>
  </si>
  <si>
    <t>ANDI BAHAR</t>
  </si>
  <si>
    <t>0000169756626</t>
  </si>
  <si>
    <t>SWB OT - 03</t>
  </si>
  <si>
    <r>
      <rPr>
        <rFont val="Arial"/>
        <b/>
        <color theme="1"/>
        <sz val="9.0"/>
        <u/>
      </rPr>
      <t>Andi</t>
    </r>
    <r>
      <rPr>
        <rFont val="Arial"/>
        <color theme="1"/>
        <sz val="9.0"/>
      </rPr>
      <t xml:space="preserve"> Rahim Fermanto</t>
    </r>
  </si>
  <si>
    <t xml:space="preserve">Chief Andi </t>
  </si>
  <si>
    <t>5204172702920004</t>
  </si>
  <si>
    <t>Dusun Sanggarahan, RT 003/RW 002, Labuhan Mapin, Alas Barat Sumbawa 84353 NTB</t>
  </si>
  <si>
    <t>Andi Masnawati</t>
  </si>
  <si>
    <t>Mataram</t>
  </si>
  <si>
    <t>27.08.1992</t>
  </si>
  <si>
    <t>0822-4444-9850</t>
  </si>
  <si>
    <t>andirahimzola@gmail.com</t>
  </si>
  <si>
    <t>1st Chief Office</t>
  </si>
  <si>
    <t>ANDI RAHIM</t>
  </si>
  <si>
    <t>0002463165044</t>
  </si>
  <si>
    <t>SWB OT - 04</t>
  </si>
  <si>
    <t>ARMAN</t>
  </si>
  <si>
    <t>Bas Arman</t>
  </si>
  <si>
    <t>7302031802870004</t>
  </si>
  <si>
    <t>Tunumbeng Rt 002 Rw 002 Desa Bonto Marannu Kec. Bontotiro Bulukumba, Sulawesi Selatan</t>
  </si>
  <si>
    <t>18.02.1987</t>
  </si>
  <si>
    <t>0812-4815-4376</t>
  </si>
  <si>
    <t>armansamara01@gmail.com</t>
  </si>
  <si>
    <t>2nd Engineer / KKM</t>
  </si>
  <si>
    <t>0002498755072</t>
  </si>
  <si>
    <t>SWB OT - 05</t>
  </si>
  <si>
    <r>
      <rPr>
        <rFont val="Arial"/>
        <b/>
        <color theme="1"/>
        <sz val="9.0"/>
        <u/>
      </rPr>
      <t>Kornel</t>
    </r>
    <r>
      <rPr>
        <rFont val="Arial"/>
        <color theme="1"/>
        <sz val="9.0"/>
      </rPr>
      <t>is Mithe</t>
    </r>
  </si>
  <si>
    <t>Kornel</t>
  </si>
  <si>
    <t>5315051509920003</t>
  </si>
  <si>
    <t>Lingkungan II Rt 009 Rw 004 Labuan Bajo, Komodo, Manggarai Barat, NTT</t>
  </si>
  <si>
    <t>Yuliana Jetia</t>
  </si>
  <si>
    <t>15.09.1992</t>
  </si>
  <si>
    <t>0812-4627-3644</t>
  </si>
  <si>
    <t>kornelisn62@gmail.com</t>
  </si>
  <si>
    <t>MOHAMAD ANDRIANO DJUJE</t>
  </si>
  <si>
    <t>0001897834588</t>
  </si>
  <si>
    <t>SWB OT - 06</t>
  </si>
  <si>
    <r>
      <rPr>
        <rFont val="Arial"/>
        <color theme="1"/>
        <sz val="9.0"/>
      </rPr>
      <t xml:space="preserve">Mohamad </t>
    </r>
    <r>
      <rPr>
        <rFont val="Arial"/>
        <b/>
        <color theme="1"/>
        <sz val="9.0"/>
        <u/>
      </rPr>
      <t>Andri</t>
    </r>
    <r>
      <rPr>
        <rFont val="Arial"/>
        <color theme="1"/>
        <sz val="9.0"/>
      </rPr>
      <t>ano Djuje</t>
    </r>
  </si>
  <si>
    <t>Andre</t>
  </si>
  <si>
    <t>5315053006010002</t>
  </si>
  <si>
    <t>Sernaru, RT 006 / RW 003, Wae Kelambu, Komodo, Manggarai Barat, NTT</t>
  </si>
  <si>
    <t>Bima</t>
  </si>
  <si>
    <t>30.06.2001</t>
  </si>
  <si>
    <t>KORNELIUS MITHE</t>
  </si>
  <si>
    <t>2609380234</t>
  </si>
  <si>
    <t>0001906388381</t>
  </si>
  <si>
    <t>SWB OT - 07</t>
  </si>
  <si>
    <r>
      <rPr>
        <rFont val="Arial"/>
        <b/>
        <color theme="1"/>
        <sz val="9.0"/>
        <u/>
      </rPr>
      <t>Jamal</t>
    </r>
    <r>
      <rPr>
        <rFont val="Arial"/>
        <b val="0"/>
        <color theme="1"/>
        <sz val="9.0"/>
      </rPr>
      <t>uddin</t>
    </r>
  </si>
  <si>
    <t>Jamal</t>
  </si>
  <si>
    <t>7302033112750059</t>
  </si>
  <si>
    <t>Jl. Kakatua RT 001/ RW 002 Ara, Bonto Bahari, Bulukumba Sulawesi Selatan</t>
  </si>
  <si>
    <t>Hanaming</t>
  </si>
  <si>
    <t>Ara</t>
  </si>
  <si>
    <t>31.12.1975</t>
  </si>
  <si>
    <t>0815-2588-5976</t>
  </si>
  <si>
    <t>ara999256@gmail.com</t>
  </si>
  <si>
    <t>BNI</t>
  </si>
  <si>
    <t>JAMALUDDIN</t>
  </si>
  <si>
    <t>0002775647103</t>
  </si>
  <si>
    <t>SWB OT - 08</t>
  </si>
  <si>
    <r>
      <rPr>
        <rFont val="Arial"/>
        <color theme="1"/>
        <sz val="9.0"/>
      </rPr>
      <t>Mu</t>
    </r>
    <r>
      <rPr>
        <rFont val="Arial"/>
        <b/>
        <color theme="1"/>
        <sz val="9.0"/>
        <u/>
      </rPr>
      <t>nawir</t>
    </r>
  </si>
  <si>
    <t>Nawir</t>
  </si>
  <si>
    <t>5315051208800001</t>
  </si>
  <si>
    <t>Bontona, Ara, Bonto Bahari, Bulukumba, Sulawesi Selatan</t>
  </si>
  <si>
    <t>Nurhaidah</t>
  </si>
  <si>
    <t>12.08.1980</t>
  </si>
  <si>
    <t>BRI</t>
  </si>
  <si>
    <t>MUNAWIR</t>
  </si>
  <si>
    <t>0003507700296</t>
  </si>
  <si>
    <t>SWB OT - 11</t>
  </si>
  <si>
    <r>
      <rPr>
        <rFont val="Arial"/>
        <color theme="1"/>
        <sz val="9.0"/>
      </rPr>
      <t>Ha</t>
    </r>
    <r>
      <rPr>
        <rFont val="Arial"/>
        <b/>
        <color theme="1"/>
        <sz val="9.0"/>
        <u/>
      </rPr>
      <t xml:space="preserve">rysal </t>
    </r>
    <r>
      <rPr>
        <rFont val="Arial"/>
        <color theme="1"/>
        <sz val="9.0"/>
      </rPr>
      <t>Lihuwanto</t>
    </r>
  </si>
  <si>
    <t>Rysal</t>
  </si>
  <si>
    <t>5204171605970001</t>
  </si>
  <si>
    <t>Dusun sanggarahan, RT 003/RW 002, Labuhan Mapin, Alas Barat Sumbawa 84353 NTB</t>
  </si>
  <si>
    <t>Salmah</t>
  </si>
  <si>
    <t>Sumbawa</t>
  </si>
  <si>
    <t>16.05.1997</t>
  </si>
  <si>
    <t>+62 878-9335-3690</t>
  </si>
  <si>
    <t xml:space="preserve"> rysal.1605@gmail.com
</t>
  </si>
  <si>
    <r>
      <rPr>
        <rFont val="Arial"/>
        <color theme="1"/>
        <sz val="9.0"/>
      </rPr>
      <t>Ha</t>
    </r>
    <r>
      <rPr>
        <rFont val="Arial"/>
        <b/>
        <color theme="1"/>
        <sz val="9.0"/>
        <u/>
      </rPr>
      <t xml:space="preserve">rysal </t>
    </r>
    <r>
      <rPr>
        <rFont val="Arial"/>
        <color theme="1"/>
        <sz val="9.0"/>
      </rPr>
      <t>Lihuwanto</t>
    </r>
  </si>
  <si>
    <t>Registered on July</t>
  </si>
  <si>
    <t>SWB OT - 12</t>
  </si>
  <si>
    <r>
      <rPr>
        <rFont val="Arial"/>
        <color theme="1"/>
        <sz val="9.0"/>
      </rPr>
      <t xml:space="preserve">I Made Agus </t>
    </r>
    <r>
      <rPr>
        <rFont val="Arial"/>
        <b/>
        <color theme="1"/>
        <sz val="9.0"/>
        <u/>
      </rPr>
      <t>Adi</t>
    </r>
    <r>
      <rPr>
        <rFont val="Arial"/>
        <color theme="1"/>
        <sz val="9.0"/>
      </rPr>
      <t xml:space="preserve"> Putra</t>
    </r>
  </si>
  <si>
    <t>5171040608000011</t>
  </si>
  <si>
    <t>Jl. Wibisana Barat Gg IIX No. 29, Pemecutan Kaja, Denpasar Utara, Bali</t>
  </si>
  <si>
    <t>04.08.2000</t>
  </si>
  <si>
    <t>+62 813-3737-9405</t>
  </si>
  <si>
    <t xml:space="preserve">imadeagusadiputra48@gmail.com </t>
  </si>
  <si>
    <t>I Made Agung Adi Putra</t>
  </si>
  <si>
    <t>SWB OT - 13</t>
  </si>
  <si>
    <r>
      <rPr>
        <rFont val="Arial"/>
        <b/>
        <color theme="1"/>
        <sz val="9.0"/>
        <u/>
      </rPr>
      <t>Adam</t>
    </r>
    <r>
      <rPr>
        <rFont val="Arial"/>
        <color theme="1"/>
        <sz val="9.0"/>
      </rPr>
      <t xml:space="preserve"> Maulana</t>
    </r>
  </si>
  <si>
    <t>Adam</t>
  </si>
  <si>
    <t>3318040705010003</t>
  </si>
  <si>
    <t>Sarimulyo, RT 003/RW 003, Winong, Pati, Jawa Tengah</t>
  </si>
  <si>
    <t>Pati</t>
  </si>
  <si>
    <t>07.05.2001</t>
  </si>
  <si>
    <t>+62 856-9494-6344</t>
  </si>
  <si>
    <t xml:space="preserve"> pardamtoretto@gmail.com</t>
  </si>
  <si>
    <t>Housekeeping + Therapis</t>
  </si>
  <si>
    <r>
      <rPr>
        <rFont val="Arial"/>
        <b/>
        <color theme="1"/>
        <sz val="9.0"/>
        <u/>
      </rPr>
      <t>Adam</t>
    </r>
    <r>
      <rPr>
        <rFont val="Arial"/>
        <color theme="1"/>
        <sz val="9.0"/>
      </rPr>
      <t xml:space="preserve"> Maulana</t>
    </r>
  </si>
  <si>
    <t>SWB OT - 14</t>
  </si>
  <si>
    <r>
      <rPr>
        <rFont val="Arial"/>
        <b/>
        <color theme="1"/>
        <sz val="9.0"/>
        <u/>
      </rPr>
      <t>Yuas</t>
    </r>
    <r>
      <rPr>
        <rFont val="Arial"/>
        <color theme="1"/>
        <sz val="9.0"/>
      </rPr>
      <t>wan</t>
    </r>
  </si>
  <si>
    <t>Yuas</t>
  </si>
  <si>
    <t>3508112708800003</t>
  </si>
  <si>
    <t>Perum Tir 3 Larangan RT 001/RW 001 Majangtengah, Dampit, Malang - Jawa Timur</t>
  </si>
  <si>
    <t>27.08.1980</t>
  </si>
  <si>
    <t>+62 812-3626-6966</t>
  </si>
  <si>
    <t>yuaswan27@gmail.com</t>
  </si>
  <si>
    <r>
      <rPr>
        <rFont val="Arial"/>
        <b/>
        <color theme="1"/>
        <sz val="9.0"/>
        <u/>
      </rPr>
      <t>Yuas</t>
    </r>
    <r>
      <rPr>
        <rFont val="Arial"/>
        <color theme="1"/>
        <sz val="9.0"/>
      </rPr>
      <t>wan</t>
    </r>
  </si>
  <si>
    <t>Data anak diatas 21tahun</t>
  </si>
  <si>
    <t>SWB OT - 16</t>
  </si>
  <si>
    <r>
      <rPr>
        <rFont val="Arial"/>
        <b/>
        <color theme="1"/>
        <sz val="9.0"/>
        <u/>
      </rPr>
      <t>Phil</t>
    </r>
    <r>
      <rPr>
        <rFont val="Arial"/>
        <color theme="1"/>
        <sz val="9.0"/>
      </rPr>
      <t>ippe Marie Pierre Bavière</t>
    </r>
  </si>
  <si>
    <t>Philippe</t>
  </si>
  <si>
    <t>Francaise</t>
  </si>
  <si>
    <t>23FV09171</t>
  </si>
  <si>
    <t>Glowsa Private Guest House Jl. Dewi Gangga, Bongkasa Pertiwi, Kec. Abiansemal, Kabupaten Badung, Bali 80352, Indonesia</t>
  </si>
  <si>
    <t>Patricia Bavière</t>
  </si>
  <si>
    <t>01.04.1986</t>
  </si>
  <si>
    <t>+62 813-3093-0837</t>
  </si>
  <si>
    <t>Cd.philippe.baviere@gmail.com</t>
  </si>
  <si>
    <t>PHILIPPE MARIE PIERR</t>
  </si>
  <si>
    <t>SWB OT - 17</t>
  </si>
  <si>
    <r>
      <rPr>
        <rFont val="Arial"/>
        <b/>
        <color theme="1"/>
        <sz val="9.0"/>
        <u/>
      </rPr>
      <t>Didin</t>
    </r>
    <r>
      <rPr>
        <rFont val="Arial"/>
        <color theme="1"/>
        <sz val="9.0"/>
      </rPr>
      <t xml:space="preserve"> Soparudin</t>
    </r>
  </si>
  <si>
    <t>Bas Didin</t>
  </si>
  <si>
    <t>3210111706970061</t>
  </si>
  <si>
    <t>Blok Saptu, RT / RW 005/002 Cibentar, Jatiwangi, Majalengka Jawa Barat</t>
  </si>
  <si>
    <t>Eti Suheati</t>
  </si>
  <si>
    <t>Majalengka</t>
  </si>
  <si>
    <t>17.06.1997</t>
  </si>
  <si>
    <t>+62 823-3708-6662</t>
  </si>
  <si>
    <t>Soparudin17@gmail.com</t>
  </si>
  <si>
    <t>1st Engineer / KKM</t>
  </si>
  <si>
    <t>SWB OT - 18</t>
  </si>
  <si>
    <t>Eddo Rizky Harwin S.</t>
  </si>
  <si>
    <t>Bas Eddo</t>
  </si>
  <si>
    <t>3525150311960003</t>
  </si>
  <si>
    <t>Dsn, Muncur Baru Rt/Rw 001 / 007 Tembokrejo, Muncar, Banyuwangi - Jawa Timur</t>
  </si>
  <si>
    <t>Gresik</t>
  </si>
  <si>
    <t>03.11.1996</t>
  </si>
  <si>
    <t>+62 822-5725-9057</t>
  </si>
  <si>
    <t>eddo.rizky1@gmail.com</t>
  </si>
  <si>
    <t>SWB OT - 19</t>
  </si>
  <si>
    <t>Fayzal Amrullah</t>
  </si>
  <si>
    <t>Fayzal</t>
  </si>
  <si>
    <t>5204170208980002</t>
  </si>
  <si>
    <t>Dusun Sanggarahan RT / RW 001/002 Labuhan Mapin Alas Bart, Sumbawa NTB</t>
  </si>
  <si>
    <t>Labuhan Mapin</t>
  </si>
  <si>
    <t>02.08.1998</t>
  </si>
  <si>
    <t>2nd Chief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</si>
</sst>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(#,##0)"/>
    <numFmt numFmtId="165" formatCode="dd/MM/yyyy"/>
    <numFmt numFmtId="166" formatCode="#,##0.00;(#,##0.00)"/>
    <numFmt numFmtId="167" formatCode="_-* #,##0_-;\-* #,##0_-;_-* &quot;-&quot;??_-;_-@"/>
  </numFmts>
  <fonts count="11">
    <font>
      <sz val="10.0"/>
      <color rgb="FF000000"/>
      <name val="Arial"/>
      <scheme val="minor"/>
    </font>
    <font>
      <b/>
      <u/>
      <sz val="11.0"/>
      <color theme="1"/>
      <name val="Arial"/>
    </font>
    <font/>
    <font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color theme="1"/>
      <name val="Roboto"/>
    </font>
    <font>
      <sz val="11.0"/>
      <color theme="1"/>
      <name val="Arial"/>
    </font>
    <font>
      <b/>
      <u/>
      <sz val="9.0"/>
      <color theme="1"/>
      <name val="Arial"/>
    </font>
    <font>
      <sz val="11.0"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vertical="center"/>
    </xf>
    <xf borderId="4" fillId="2" fontId="3" numFmtId="164" xfId="0" applyAlignment="1" applyBorder="1" applyFill="1" applyFont="1" applyNumberFormat="1">
      <alignment vertical="center"/>
    </xf>
    <xf borderId="5" fillId="2" fontId="3" numFmtId="164" xfId="0" applyAlignment="1" applyBorder="1" applyFill="1" applyFont="1" applyNumberFormat="1">
      <alignment vertical="center"/>
    </xf>
    <xf borderId="5" fillId="2" fontId="3" numFmtId="0" xfId="0" applyAlignment="1" applyBorder="1" applyFill="1" applyFont="1">
      <alignment vertical="center"/>
    </xf>
    <xf borderId="6" fillId="3" fontId="4" numFmtId="0" xfId="0" applyAlignment="1" applyBorder="1" applyFill="1" applyFont="1">
      <alignment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6" fillId="4" fontId="4" numFmtId="164" xfId="0" applyAlignment="1" applyBorder="1" applyFill="1" applyFont="1" applyNumberFormat="1">
      <alignment horizontal="center" readingOrder="0" shrinkToFit="0" vertical="center" wrapText="1"/>
    </xf>
    <xf borderId="6" fillId="2" fontId="5" numFmtId="0" xfId="0" applyAlignment="1" applyBorder="1" applyFill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6" fillId="2" fontId="6" numFmtId="0" xfId="0" applyAlignment="1" applyBorder="1" applyFill="1" applyFont="1">
      <alignment horizontal="center" vertical="center"/>
    </xf>
    <xf borderId="6" fillId="2" fontId="5" numFmtId="165" xfId="0" applyAlignment="1" applyBorder="1" applyFill="1" applyFont="1" applyNumberFormat="1">
      <alignment horizontal="right" vertical="center"/>
    </xf>
    <xf borderId="6" fillId="2" fontId="5" numFmtId="165" xfId="0" applyAlignment="1" applyBorder="1" applyFill="1" applyFont="1" applyNumberFormat="1">
      <alignment vertical="center"/>
    </xf>
    <xf borderId="7" fillId="2" fontId="7" numFmtId="3" xfId="0" applyAlignment="1" applyBorder="1" applyFill="1" applyFont="1" applyNumberFormat="1">
      <alignment horizontal="center" vertical="center"/>
    </xf>
    <xf borderId="6" fillId="2" fontId="5" numFmtId="0" xfId="0" applyAlignment="1" applyBorder="1" applyFill="1" applyFont="1">
      <alignment horizontal="right" vertical="center"/>
    </xf>
    <xf borderId="6" fillId="2" fontId="5" numFmtId="164" xfId="0" applyAlignment="1" applyBorder="1" applyFill="1" applyFont="1" applyNumberFormat="1">
      <alignment horizontal="center" vertical="center"/>
    </xf>
    <xf borderId="6" fillId="2" fontId="3" numFmtId="166" xfId="0" applyAlignment="1" applyBorder="1" applyFill="1" applyFont="1" applyNumberFormat="1">
      <alignment vertical="center"/>
    </xf>
    <xf borderId="6" fillId="2" fontId="5" numFmtId="164" xfId="0" applyAlignment="1" applyBorder="1" applyFill="1" applyFont="1" applyNumberFormat="1">
      <alignment horizontal="right" readingOrder="0" vertical="center"/>
    </xf>
    <xf borderId="6" fillId="2" fontId="5" numFmtId="164" xfId="0" applyAlignment="1" applyBorder="1" applyFill="1" applyFont="1" applyNumberFormat="1">
      <alignment horizontal="center" readingOrder="0" vertical="center"/>
    </xf>
    <xf quotePrefix="1" borderId="6" fillId="2" fontId="5" numFmtId="0" xfId="0" applyAlignment="1" applyBorder="1" applyFill="1" applyFont="1">
      <alignment shrinkToFit="0" vertical="center" wrapText="1"/>
    </xf>
    <xf quotePrefix="1" borderId="6" fillId="2" fontId="5" numFmtId="0" xfId="0" applyAlignment="1" applyBorder="1" applyFill="1" applyFont="1">
      <alignment vertical="center"/>
    </xf>
    <xf borderId="6" fillId="2" fontId="3" numFmtId="0" xfId="0" applyAlignment="1" applyBorder="1" applyFill="1" applyFont="1">
      <alignment vertical="center"/>
    </xf>
    <xf borderId="8" fillId="2" fontId="7" numFmtId="3" xfId="0" applyAlignment="1" applyBorder="1" applyFill="1" applyFont="1" applyNumberFormat="1">
      <alignment horizontal="center" vertical="center"/>
    </xf>
    <xf borderId="6" fillId="2" fontId="3" numFmtId="164" xfId="0" applyAlignment="1" applyBorder="1" applyFill="1" applyFont="1" applyNumberFormat="1">
      <alignment readingOrder="0" vertical="center"/>
    </xf>
    <xf borderId="7" fillId="2" fontId="5" numFmtId="49" xfId="0" applyAlignment="1" applyBorder="1" applyFill="1" applyFont="1" applyNumberFormat="1">
      <alignment vertical="center"/>
    </xf>
    <xf borderId="7" fillId="2" fontId="7" numFmtId="167" xfId="0" applyAlignment="1" applyBorder="1" applyFill="1" applyFont="1" applyNumberFormat="1">
      <alignment horizontal="center"/>
    </xf>
    <xf borderId="6" fillId="2" fontId="5" numFmtId="166" xfId="0" applyAlignment="1" applyBorder="1" applyFill="1" applyFont="1" applyNumberFormat="1">
      <alignment shrinkToFit="0" vertical="center" wrapText="1"/>
    </xf>
    <xf borderId="7" fillId="2" fontId="8" numFmtId="167" xfId="0" applyBorder="1" applyFill="1" applyFont="1" applyNumberFormat="1"/>
    <xf borderId="9" fillId="2" fontId="7" numFmtId="167" xfId="0" applyAlignment="1" applyBorder="1" applyFill="1" applyFont="1" applyNumberFormat="1">
      <alignment horizontal="right"/>
    </xf>
    <xf borderId="9" fillId="2" fontId="8" numFmtId="167" xfId="0" applyBorder="1" applyFill="1" applyFont="1" applyNumberFormat="1"/>
    <xf borderId="6" fillId="2" fontId="5" numFmtId="166" xfId="0" applyAlignment="1" applyBorder="1" applyFill="1" applyFont="1" applyNumberFormat="1">
      <alignment horizontal="center" vertical="center"/>
    </xf>
    <xf borderId="6" fillId="5" fontId="5" numFmtId="0" xfId="0" applyAlignment="1" applyBorder="1" applyFill="1" applyFont="1">
      <alignment vertical="center"/>
    </xf>
    <xf quotePrefix="1" borderId="6" fillId="2" fontId="5" numFmtId="0" xfId="0" applyAlignment="1" applyBorder="1" applyFill="1" applyFont="1">
      <alignment readingOrder="0" vertical="center"/>
    </xf>
    <xf borderId="6" fillId="2" fontId="3" numFmtId="165" xfId="0" applyAlignment="1" applyBorder="1" applyFill="1" applyFont="1" applyNumberFormat="1">
      <alignment vertical="center"/>
    </xf>
    <xf borderId="8" fillId="2" fontId="3" numFmtId="3" xfId="0" applyAlignment="1" applyBorder="1" applyFill="1" applyFont="1" applyNumberFormat="1">
      <alignment vertical="center"/>
    </xf>
    <xf borderId="6" fillId="6" fontId="3" numFmtId="164" xfId="0" applyAlignment="1" applyBorder="1" applyFill="1" applyFont="1" applyNumberFormat="1">
      <alignment vertical="center"/>
    </xf>
    <xf borderId="6" fillId="6" fontId="3" numFmtId="0" xfId="0" applyAlignment="1" applyBorder="1" applyFill="1" applyFont="1">
      <alignment vertical="center"/>
    </xf>
    <xf borderId="6" fillId="7" fontId="5" numFmtId="165" xfId="0" applyAlignment="1" applyBorder="1" applyFill="1" applyFont="1" applyNumberFormat="1">
      <alignment vertical="center"/>
    </xf>
    <xf quotePrefix="1" borderId="6" fillId="6" fontId="5" numFmtId="0" xfId="0" applyAlignment="1" applyBorder="1" applyFill="1" applyFont="1">
      <alignment shrinkToFit="0" vertical="center" wrapText="1"/>
    </xf>
    <xf borderId="6" fillId="2" fontId="3" numFmtId="164" xfId="0" applyAlignment="1" applyBorder="1" applyFill="1" applyFont="1" applyNumberFormat="1">
      <alignment vertical="center"/>
    </xf>
    <xf borderId="6" fillId="2" fontId="9" numFmtId="0" xfId="0" applyAlignment="1" applyBorder="1" applyFill="1" applyFont="1">
      <alignment vertical="center"/>
    </xf>
    <xf borderId="6" fillId="8" fontId="5" numFmtId="0" xfId="0" applyAlignment="1" applyBorder="1" applyFill="1" applyFont="1">
      <alignment horizontal="center" vertical="center"/>
    </xf>
    <xf borderId="8" fillId="8" fontId="7" numFmtId="3" xfId="0" applyAlignment="1" applyBorder="1" applyFill="1" applyFont="1" applyNumberFormat="1">
      <alignment horizontal="center" vertical="center"/>
    </xf>
    <xf borderId="6" fillId="8" fontId="5" numFmtId="164" xfId="0" applyAlignment="1" applyBorder="1" applyFill="1" applyFont="1" applyNumberFormat="1">
      <alignment horizontal="center" vertical="center"/>
    </xf>
    <xf borderId="6" fillId="8" fontId="5" numFmtId="166" xfId="0" applyAlignment="1" applyBorder="1" applyFill="1" applyFont="1" applyNumberFormat="1">
      <alignment horizontal="center" vertical="center"/>
    </xf>
    <xf quotePrefix="1" borderId="6" fillId="2" fontId="5" numFmtId="0" xfId="0" applyAlignment="1" applyBorder="1" applyFill="1" applyFont="1">
      <alignment horizontal="center" vertical="center"/>
    </xf>
    <xf borderId="6" fillId="8" fontId="3" numFmtId="0" xfId="0" applyAlignment="1" applyBorder="1" applyFill="1" applyFont="1">
      <alignment vertical="center"/>
    </xf>
    <xf borderId="8" fillId="2" fontId="7" numFmtId="3" xfId="0" applyAlignment="1" applyBorder="1" applyFill="1" applyFont="1" applyNumberFormat="1">
      <alignment horizontal="center" shrinkToFit="0" vertical="center" wrapText="1"/>
    </xf>
    <xf borderId="6" fillId="7" fontId="5" numFmtId="165" xfId="0" applyAlignment="1" applyBorder="1" applyFill="1" applyFont="1" applyNumberFormat="1">
      <alignment horizontal="right" vertical="center"/>
    </xf>
    <xf borderId="6" fillId="7" fontId="6" numFmtId="165" xfId="0" applyAlignment="1" applyBorder="1" applyFill="1" applyFont="1" applyNumberFormat="1">
      <alignment vertical="center"/>
    </xf>
    <xf borderId="6" fillId="2" fontId="6" numFmtId="165" xfId="0" applyAlignment="1" applyBorder="1" applyFill="1" applyFont="1" applyNumberFormat="1">
      <alignment vertical="center"/>
    </xf>
    <xf borderId="6" fillId="2" fontId="6" numFmtId="166" xfId="0" applyAlignment="1" applyBorder="1" applyFill="1" applyFont="1" applyNumberFormat="1">
      <alignment vertical="center"/>
    </xf>
    <xf borderId="6" fillId="2" fontId="6" numFmtId="0" xfId="0" applyAlignment="1" applyBorder="1" applyFill="1" applyFont="1">
      <alignment vertical="center"/>
    </xf>
    <xf borderId="6" fillId="2" fontId="6" numFmtId="164" xfId="0" applyAlignment="1" applyBorder="1" applyFill="1" applyFont="1" applyNumberFormat="1">
      <alignment horizontal="center" vertical="center"/>
    </xf>
    <xf borderId="6" fillId="2" fontId="7" numFmtId="0" xfId="0" applyAlignment="1" applyBorder="1" applyFill="1" applyFont="1">
      <alignment vertical="center"/>
    </xf>
    <xf borderId="6" fillId="6" fontId="5" numFmtId="0" xfId="0" applyAlignment="1" applyBorder="1" applyFill="1" applyFont="1">
      <alignment horizontal="center" vertical="center"/>
    </xf>
    <xf borderId="7" fillId="2" fontId="10" numFmtId="167" xfId="0" applyAlignment="1" applyBorder="1" applyFill="1" applyFont="1" applyNumberFormat="1">
      <alignment horizontal="center" vertical="bottom"/>
    </xf>
    <xf borderId="6" fillId="6" fontId="5" numFmtId="0" xfId="0" applyAlignment="1" applyBorder="1" applyFill="1" applyFont="1">
      <alignment vertical="center"/>
    </xf>
    <xf borderId="6" fillId="6" fontId="5" numFmtId="166" xfId="0" applyAlignment="1" applyBorder="1" applyFill="1" applyFont="1" applyNumberFormat="1">
      <alignment shrinkToFit="0" vertical="center" wrapText="1"/>
    </xf>
    <xf borderId="6" fillId="6" fontId="3" numFmtId="166" xfId="0" applyAlignment="1" applyBorder="1" applyFill="1" applyFont="1" applyNumberFormat="1">
      <alignment vertical="center"/>
    </xf>
    <xf borderId="6" fillId="2" fontId="5" numFmtId="0" xfId="0" applyAlignment="1" applyBorder="1" applyFill="1" applyFont="1">
      <alignment readingOrder="0" vertical="center"/>
    </xf>
    <xf borderId="7" fillId="2" fontId="10" numFmtId="167" xfId="0" applyAlignment="1" applyBorder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4.0"/>
    <col customWidth="1" min="3" max="3" width="12.5"/>
    <col customWidth="1" min="4" max="4" width="10.38"/>
    <col customWidth="1" min="5" max="5" width="14.38"/>
    <col customWidth="1" min="6" max="6" width="85.13"/>
    <col customWidth="1" min="7" max="7" width="21.63"/>
    <col customWidth="1" min="8" max="8" width="12.75"/>
    <col customWidth="1" min="9" max="9" width="9.0"/>
    <col customWidth="1" min="10" max="10" width="6.88"/>
    <col customWidth="1" min="11" max="11" width="8.25"/>
    <col customWidth="1" min="12" max="12" width="14.13"/>
    <col customWidth="1" min="13" max="13" width="26.63"/>
    <col customWidth="1" min="14" max="14" width="7.13"/>
    <col customWidth="1" min="15" max="15" width="13.13"/>
    <col customWidth="1" min="16" max="16" width="7.38"/>
    <col customWidth="1" min="17" max="17" width="13.75"/>
    <col customWidth="1" min="18" max="18" width="21.88"/>
    <col customWidth="1" min="19" max="19" width="15.5"/>
    <col customWidth="1" min="20" max="20" width="24.38"/>
    <col customWidth="1" min="21" max="21" width="11.75"/>
    <col customWidth="1" min="22" max="23" width="8.5"/>
    <col customWidth="1" min="24" max="24" width="16.5"/>
    <col customWidth="1" min="25" max="25" width="5.88"/>
    <col customWidth="1" min="26" max="26" width="7.38"/>
    <col customWidth="1" min="27" max="27" width="13.5"/>
    <col customWidth="1" min="28" max="28" width="26.63"/>
    <col customWidth="1" min="29" max="29" width="10.0"/>
    <col customWidth="1" min="30" max="30" width="11.75"/>
    <col customWidth="1" min="31" max="31" width="25.63"/>
    <col customWidth="1" min="32" max="32" width="11.0"/>
    <col customWidth="1" min="33" max="33" width="10.13"/>
    <col customWidth="1" min="34" max="34" width="11.75"/>
    <col customWidth="1" min="35" max="35" width="12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7"/>
      <c r="AI2" s="7"/>
    </row>
    <row r="3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  <c r="AB3" s="9" t="s">
        <v>27</v>
      </c>
      <c r="AC3" s="9" t="s">
        <v>28</v>
      </c>
      <c r="AD3" s="9" t="s">
        <v>29</v>
      </c>
      <c r="AE3" s="9" t="s">
        <v>30</v>
      </c>
      <c r="AF3" s="10" t="s">
        <v>31</v>
      </c>
      <c r="AG3" s="10" t="s">
        <v>32</v>
      </c>
      <c r="AH3" s="9" t="s">
        <v>33</v>
      </c>
      <c r="AI3" s="9" t="s">
        <v>34</v>
      </c>
    </row>
    <row r="4">
      <c r="A4" s="11" t="s">
        <v>35</v>
      </c>
      <c r="B4" s="11" t="s">
        <v>36</v>
      </c>
      <c r="C4" s="11" t="s">
        <v>37</v>
      </c>
      <c r="D4" s="11" t="s">
        <v>38</v>
      </c>
      <c r="E4" s="12" t="s">
        <v>39</v>
      </c>
      <c r="F4" s="11" t="s">
        <v>40</v>
      </c>
      <c r="G4" s="11" t="s">
        <v>41</v>
      </c>
      <c r="H4" s="11" t="s">
        <v>42</v>
      </c>
      <c r="I4" s="11" t="s">
        <v>43</v>
      </c>
      <c r="J4" s="11" t="s">
        <v>44</v>
      </c>
      <c r="K4" s="11" t="s">
        <v>45</v>
      </c>
      <c r="L4" s="11" t="s">
        <v>46</v>
      </c>
      <c r="M4" s="11" t="s">
        <v>47</v>
      </c>
      <c r="N4" s="12">
        <v>12.0</v>
      </c>
      <c r="O4" s="12" t="s">
        <v>48</v>
      </c>
      <c r="P4" s="12" t="s">
        <v>49</v>
      </c>
      <c r="Q4" s="11" t="s">
        <v>48</v>
      </c>
      <c r="R4" s="11" t="s">
        <v>50</v>
      </c>
      <c r="S4" s="11" t="s">
        <v>51</v>
      </c>
      <c r="T4" s="11" t="s">
        <v>18</v>
      </c>
      <c r="U4" s="12" t="s">
        <v>52</v>
      </c>
      <c r="V4" s="13" t="s">
        <v>53</v>
      </c>
      <c r="W4" s="14">
        <v>42005.0</v>
      </c>
      <c r="X4" s="15" t="str">
        <f>(DATEDIF(W4,NOW(),"y")  &amp;"Year")&amp; DATEDIF(W4,NOW(),"YM")&amp;"Months"&amp; DATEDIF(W4,NOW(),"MD")&amp;"Days"</f>
        <v>11Year8Months22Days</v>
      </c>
      <c r="Y4" s="16" t="s">
        <v>54</v>
      </c>
      <c r="Z4" s="11" t="s">
        <v>55</v>
      </c>
      <c r="AA4" s="17">
        <v>1.450012325318E12</v>
      </c>
      <c r="AB4" s="11" t="s">
        <v>56</v>
      </c>
      <c r="AC4" s="18"/>
      <c r="AD4" s="18">
        <v>35000.0</v>
      </c>
      <c r="AE4" s="19"/>
      <c r="AF4" s="20">
        <v>5000000.0</v>
      </c>
      <c r="AG4" s="21">
        <v>1.0E7</v>
      </c>
      <c r="AH4" s="12">
        <v>2.2035368624E10</v>
      </c>
      <c r="AI4" s="22" t="s">
        <v>57</v>
      </c>
    </row>
    <row r="5">
      <c r="A5" s="11" t="s">
        <v>58</v>
      </c>
      <c r="B5" s="11" t="s">
        <v>59</v>
      </c>
      <c r="C5" s="11" t="s">
        <v>60</v>
      </c>
      <c r="D5" s="11" t="s">
        <v>61</v>
      </c>
      <c r="E5" s="12" t="s">
        <v>62</v>
      </c>
      <c r="F5" s="11" t="s">
        <v>63</v>
      </c>
      <c r="G5" s="11" t="s">
        <v>64</v>
      </c>
      <c r="H5" s="11" t="s">
        <v>65</v>
      </c>
      <c r="I5" s="11" t="s">
        <v>66</v>
      </c>
      <c r="J5" s="11" t="s">
        <v>44</v>
      </c>
      <c r="K5" s="11" t="s">
        <v>45</v>
      </c>
      <c r="L5" s="23" t="s">
        <v>67</v>
      </c>
      <c r="M5" s="11" t="s">
        <v>68</v>
      </c>
      <c r="N5" s="12">
        <v>12.0</v>
      </c>
      <c r="O5" s="12" t="s">
        <v>48</v>
      </c>
      <c r="P5" s="12" t="s">
        <v>69</v>
      </c>
      <c r="Q5" s="11" t="s">
        <v>48</v>
      </c>
      <c r="R5" s="11" t="s">
        <v>70</v>
      </c>
      <c r="S5" s="11" t="s">
        <v>71</v>
      </c>
      <c r="T5" s="11" t="s">
        <v>18</v>
      </c>
      <c r="U5" s="12" t="s">
        <v>52</v>
      </c>
      <c r="V5" s="13" t="s">
        <v>53</v>
      </c>
      <c r="W5" s="14">
        <v>42005.0</v>
      </c>
      <c r="X5" s="15" t="str">
        <f t="shared" ref="X5:X11" si="1">(DATEDIF(W5,NOW(),"y")  &amp;"Year")&amp;DATEDIF(W5,NOW(),"YM")&amp;"Months"&amp;DATEDIF(W5,NOW(),"MD")&amp;"Days"</f>
        <v>11Year8Months22Days</v>
      </c>
      <c r="Y5" s="16" t="s">
        <v>72</v>
      </c>
      <c r="Z5" s="11" t="s">
        <v>55</v>
      </c>
      <c r="AA5" s="17">
        <v>1.450014391631E12</v>
      </c>
      <c r="AB5" s="11" t="s">
        <v>73</v>
      </c>
      <c r="AC5" s="18"/>
      <c r="AD5" s="18">
        <v>35000.0</v>
      </c>
      <c r="AE5" s="19"/>
      <c r="AF5" s="20">
        <v>1.0E7</v>
      </c>
      <c r="AG5" s="21">
        <v>2.0E7</v>
      </c>
      <c r="AH5" s="12">
        <v>2.3139965497E10</v>
      </c>
      <c r="AI5" s="22" t="s">
        <v>74</v>
      </c>
    </row>
    <row r="6">
      <c r="A6" s="11" t="s">
        <v>75</v>
      </c>
      <c r="B6" s="11" t="s">
        <v>76</v>
      </c>
      <c r="C6" s="11" t="s">
        <v>77</v>
      </c>
      <c r="D6" s="11" t="s">
        <v>38</v>
      </c>
      <c r="E6" s="12" t="s">
        <v>78</v>
      </c>
      <c r="F6" s="11" t="s">
        <v>79</v>
      </c>
      <c r="G6" s="11" t="s">
        <v>80</v>
      </c>
      <c r="H6" s="11" t="s">
        <v>81</v>
      </c>
      <c r="I6" s="11" t="s">
        <v>82</v>
      </c>
      <c r="J6" s="11" t="s">
        <v>44</v>
      </c>
      <c r="K6" s="11" t="s">
        <v>83</v>
      </c>
      <c r="L6" s="11" t="s">
        <v>84</v>
      </c>
      <c r="M6" s="24"/>
      <c r="N6" s="12">
        <v>12.0</v>
      </c>
      <c r="O6" s="12" t="s">
        <v>48</v>
      </c>
      <c r="P6" s="12" t="s">
        <v>69</v>
      </c>
      <c r="Q6" s="11" t="s">
        <v>85</v>
      </c>
      <c r="R6" s="11" t="s">
        <v>86</v>
      </c>
      <c r="S6" s="11" t="s">
        <v>51</v>
      </c>
      <c r="T6" s="11" t="s">
        <v>87</v>
      </c>
      <c r="U6" s="12" t="s">
        <v>52</v>
      </c>
      <c r="V6" s="12" t="s">
        <v>53</v>
      </c>
      <c r="W6" s="14">
        <v>41640.0</v>
      </c>
      <c r="X6" s="15" t="str">
        <f t="shared" si="1"/>
        <v>12Year8Months22Days</v>
      </c>
      <c r="Y6" s="16" t="s">
        <v>88</v>
      </c>
      <c r="Z6" s="11" t="s">
        <v>55</v>
      </c>
      <c r="AA6" s="17">
        <v>1.450014914721E12</v>
      </c>
      <c r="AB6" s="11" t="s">
        <v>89</v>
      </c>
      <c r="AC6" s="18"/>
      <c r="AD6" s="18">
        <v>35000.0</v>
      </c>
      <c r="AE6" s="19"/>
      <c r="AF6" s="20">
        <v>7800000.0</v>
      </c>
      <c r="AG6" s="21">
        <v>4200000.0</v>
      </c>
      <c r="AH6" s="12">
        <v>2.2071549905E10</v>
      </c>
      <c r="AI6" s="22" t="s">
        <v>90</v>
      </c>
    </row>
    <row r="7">
      <c r="A7" s="11" t="s">
        <v>91</v>
      </c>
      <c r="B7" s="11" t="s">
        <v>92</v>
      </c>
      <c r="C7" s="11" t="s">
        <v>93</v>
      </c>
      <c r="D7" s="11" t="s">
        <v>38</v>
      </c>
      <c r="E7" s="11" t="s">
        <v>94</v>
      </c>
      <c r="F7" s="11" t="s">
        <v>79</v>
      </c>
      <c r="G7" s="11" t="s">
        <v>95</v>
      </c>
      <c r="H7" s="11" t="s">
        <v>96</v>
      </c>
      <c r="I7" s="11" t="s">
        <v>97</v>
      </c>
      <c r="J7" s="11" t="s">
        <v>44</v>
      </c>
      <c r="K7" s="11" t="s">
        <v>83</v>
      </c>
      <c r="L7" s="11" t="s">
        <v>98</v>
      </c>
      <c r="M7" s="24"/>
      <c r="N7" s="12">
        <v>12.0</v>
      </c>
      <c r="O7" s="12" t="s">
        <v>48</v>
      </c>
      <c r="P7" s="12" t="s">
        <v>49</v>
      </c>
      <c r="Q7" s="11" t="s">
        <v>85</v>
      </c>
      <c r="R7" s="11" t="s">
        <v>86</v>
      </c>
      <c r="S7" s="11" t="s">
        <v>51</v>
      </c>
      <c r="T7" s="11" t="s">
        <v>99</v>
      </c>
      <c r="U7" s="12" t="s">
        <v>52</v>
      </c>
      <c r="V7" s="12" t="s">
        <v>53</v>
      </c>
      <c r="W7" s="14">
        <v>42005.0</v>
      </c>
      <c r="X7" s="15" t="str">
        <f t="shared" si="1"/>
        <v>11Year8Months22Days</v>
      </c>
      <c r="Y7" s="25" t="s">
        <v>54</v>
      </c>
      <c r="Z7" s="11" t="s">
        <v>55</v>
      </c>
      <c r="AA7" s="17">
        <v>1.450014914739E12</v>
      </c>
      <c r="AB7" s="11" t="s">
        <v>100</v>
      </c>
      <c r="AC7" s="18"/>
      <c r="AD7" s="18">
        <v>35000.0</v>
      </c>
      <c r="AE7" s="19"/>
      <c r="AF7" s="26">
        <v>3500000.0</v>
      </c>
      <c r="AG7" s="21" t="s">
        <v>101</v>
      </c>
      <c r="AH7" s="12">
        <v>2.2071549921E10</v>
      </c>
      <c r="AI7" s="22" t="s">
        <v>102</v>
      </c>
    </row>
    <row r="8">
      <c r="A8" s="11" t="s">
        <v>103</v>
      </c>
      <c r="B8" s="11" t="s">
        <v>104</v>
      </c>
      <c r="C8" s="11" t="s">
        <v>105</v>
      </c>
      <c r="D8" s="11" t="s">
        <v>38</v>
      </c>
      <c r="E8" s="12" t="s">
        <v>106</v>
      </c>
      <c r="F8" s="11" t="s">
        <v>107</v>
      </c>
      <c r="G8" s="24"/>
      <c r="H8" s="11" t="s">
        <v>108</v>
      </c>
      <c r="I8" s="11" t="s">
        <v>109</v>
      </c>
      <c r="J8" s="11" t="s">
        <v>44</v>
      </c>
      <c r="K8" s="11" t="s">
        <v>110</v>
      </c>
      <c r="L8" s="11" t="s">
        <v>111</v>
      </c>
      <c r="M8" s="24"/>
      <c r="N8" s="12">
        <v>12.0</v>
      </c>
      <c r="O8" s="12" t="s">
        <v>48</v>
      </c>
      <c r="P8" s="12" t="s">
        <v>69</v>
      </c>
      <c r="Q8" s="11" t="s">
        <v>48</v>
      </c>
      <c r="R8" s="11" t="s">
        <v>50</v>
      </c>
      <c r="S8" s="11" t="s">
        <v>51</v>
      </c>
      <c r="T8" s="11" t="s">
        <v>112</v>
      </c>
      <c r="U8" s="12" t="s">
        <v>52</v>
      </c>
      <c r="V8" s="12" t="s">
        <v>113</v>
      </c>
      <c r="W8" s="14">
        <v>46113.0</v>
      </c>
      <c r="X8" s="15" t="str">
        <f t="shared" si="1"/>
        <v>0Year5Months22Days</v>
      </c>
      <c r="Y8" s="25" t="s">
        <v>114</v>
      </c>
      <c r="Z8" s="27" t="s">
        <v>115</v>
      </c>
      <c r="AA8" s="27">
        <v>7.725054335E9</v>
      </c>
      <c r="AB8" s="27" t="s">
        <v>116</v>
      </c>
      <c r="AC8" s="18"/>
      <c r="AD8" s="18">
        <v>35000.0</v>
      </c>
      <c r="AE8" s="19"/>
      <c r="AF8" s="28">
        <v>1.75E7</v>
      </c>
      <c r="AG8" s="28">
        <v>1.75E7</v>
      </c>
      <c r="AH8" s="29" t="s">
        <v>117</v>
      </c>
      <c r="AI8" s="22" t="s">
        <v>118</v>
      </c>
    </row>
    <row r="9">
      <c r="A9" s="11" t="s">
        <v>119</v>
      </c>
      <c r="B9" s="11" t="s">
        <v>120</v>
      </c>
      <c r="C9" s="11" t="s">
        <v>121</v>
      </c>
      <c r="D9" s="11" t="s">
        <v>38</v>
      </c>
      <c r="E9" s="12" t="s">
        <v>122</v>
      </c>
      <c r="F9" s="11" t="s">
        <v>123</v>
      </c>
      <c r="G9" s="11" t="s">
        <v>124</v>
      </c>
      <c r="H9" s="11" t="s">
        <v>125</v>
      </c>
      <c r="I9" s="11" t="s">
        <v>126</v>
      </c>
      <c r="J9" s="11" t="s">
        <v>44</v>
      </c>
      <c r="K9" s="11" t="s">
        <v>127</v>
      </c>
      <c r="L9" s="11" t="s">
        <v>128</v>
      </c>
      <c r="M9" s="11" t="s">
        <v>129</v>
      </c>
      <c r="N9" s="12">
        <v>12.0</v>
      </c>
      <c r="O9" s="12" t="s">
        <v>48</v>
      </c>
      <c r="P9" s="12" t="s">
        <v>49</v>
      </c>
      <c r="Q9" s="11" t="s">
        <v>48</v>
      </c>
      <c r="R9" s="11" t="s">
        <v>86</v>
      </c>
      <c r="S9" s="11" t="s">
        <v>51</v>
      </c>
      <c r="T9" s="11" t="s">
        <v>130</v>
      </c>
      <c r="U9" s="12" t="s">
        <v>52</v>
      </c>
      <c r="V9" s="13" t="s">
        <v>53</v>
      </c>
      <c r="W9" s="14">
        <v>44197.0</v>
      </c>
      <c r="X9" s="15" t="str">
        <f t="shared" si="1"/>
        <v>5Year8Months22Days</v>
      </c>
      <c r="Y9" s="25" t="s">
        <v>54</v>
      </c>
      <c r="Z9" s="11" t="s">
        <v>55</v>
      </c>
      <c r="AA9" s="17">
        <v>1.450014172643E12</v>
      </c>
      <c r="AB9" s="11" t="s">
        <v>131</v>
      </c>
      <c r="AC9" s="18"/>
      <c r="AD9" s="18">
        <v>35000.0</v>
      </c>
      <c r="AE9" s="19"/>
      <c r="AF9" s="28">
        <v>5625000.0</v>
      </c>
      <c r="AG9" s="28">
        <v>1875000.0</v>
      </c>
      <c r="AH9" s="12">
        <v>2.2035368632E10</v>
      </c>
      <c r="AI9" s="22" t="s">
        <v>132</v>
      </c>
    </row>
    <row r="10">
      <c r="A10" s="11" t="s">
        <v>133</v>
      </c>
      <c r="B10" s="11" t="s">
        <v>134</v>
      </c>
      <c r="C10" s="11" t="s">
        <v>135</v>
      </c>
      <c r="D10" s="11" t="s">
        <v>38</v>
      </c>
      <c r="E10" s="12" t="s">
        <v>136</v>
      </c>
      <c r="F10" s="11" t="s">
        <v>137</v>
      </c>
      <c r="G10" s="11" t="s">
        <v>138</v>
      </c>
      <c r="H10" s="11" t="s">
        <v>81</v>
      </c>
      <c r="I10" s="11" t="s">
        <v>139</v>
      </c>
      <c r="J10" s="11" t="s">
        <v>140</v>
      </c>
      <c r="K10" s="11" t="s">
        <v>83</v>
      </c>
      <c r="L10" s="23" t="s">
        <v>141</v>
      </c>
      <c r="M10" s="11" t="s">
        <v>142</v>
      </c>
      <c r="N10" s="12">
        <v>12.0</v>
      </c>
      <c r="O10" s="12" t="s">
        <v>48</v>
      </c>
      <c r="P10" s="12" t="s">
        <v>49</v>
      </c>
      <c r="Q10" s="11" t="s">
        <v>48</v>
      </c>
      <c r="R10" s="11" t="s">
        <v>70</v>
      </c>
      <c r="S10" s="11" t="s">
        <v>71</v>
      </c>
      <c r="T10" s="11" t="s">
        <v>143</v>
      </c>
      <c r="U10" s="12" t="s">
        <v>52</v>
      </c>
      <c r="V10" s="12" t="s">
        <v>113</v>
      </c>
      <c r="W10" s="14">
        <v>46086.0</v>
      </c>
      <c r="X10" s="15" t="str">
        <f t="shared" si="1"/>
        <v>0Year6Months18Days</v>
      </c>
      <c r="Y10" s="25" t="s">
        <v>54</v>
      </c>
      <c r="Z10" s="11" t="s">
        <v>55</v>
      </c>
      <c r="AA10" s="17" t="s">
        <v>144</v>
      </c>
      <c r="AB10" s="11" t="s">
        <v>145</v>
      </c>
      <c r="AC10" s="18"/>
      <c r="AD10" s="18">
        <v>35000.0</v>
      </c>
      <c r="AE10" s="19"/>
      <c r="AF10" s="28">
        <v>3500000.0</v>
      </c>
      <c r="AG10" s="30"/>
      <c r="AH10" s="12">
        <v>2.6116447538E10</v>
      </c>
      <c r="AI10" s="22" t="s">
        <v>146</v>
      </c>
    </row>
    <row r="11">
      <c r="A11" s="11" t="s">
        <v>147</v>
      </c>
      <c r="B11" s="11" t="s">
        <v>148</v>
      </c>
      <c r="C11" s="11" t="s">
        <v>149</v>
      </c>
      <c r="D11" s="11" t="s">
        <v>38</v>
      </c>
      <c r="E11" s="12" t="s">
        <v>150</v>
      </c>
      <c r="F11" s="11" t="s">
        <v>151</v>
      </c>
      <c r="G11" s="11" t="s">
        <v>152</v>
      </c>
      <c r="H11" s="11" t="s">
        <v>153</v>
      </c>
      <c r="I11" s="11" t="s">
        <v>154</v>
      </c>
      <c r="J11" s="11" t="s">
        <v>155</v>
      </c>
      <c r="K11" s="11" t="s">
        <v>83</v>
      </c>
      <c r="L11" s="11" t="s">
        <v>156</v>
      </c>
      <c r="M11" s="11" t="s">
        <v>157</v>
      </c>
      <c r="N11" s="12">
        <v>12.0</v>
      </c>
      <c r="O11" s="12" t="s">
        <v>48</v>
      </c>
      <c r="P11" s="12" t="s">
        <v>49</v>
      </c>
      <c r="Q11" s="11" t="s">
        <v>48</v>
      </c>
      <c r="R11" s="11" t="s">
        <v>50</v>
      </c>
      <c r="S11" s="11" t="s">
        <v>51</v>
      </c>
      <c r="T11" s="11" t="s">
        <v>158</v>
      </c>
      <c r="U11" s="12" t="s">
        <v>52</v>
      </c>
      <c r="V11" s="12" t="s">
        <v>53</v>
      </c>
      <c r="W11" s="14">
        <v>45566.0</v>
      </c>
      <c r="X11" s="15" t="str">
        <f t="shared" si="1"/>
        <v>1Year11Months22Days</v>
      </c>
      <c r="Y11" s="25" t="s">
        <v>54</v>
      </c>
      <c r="Z11" s="11" t="s">
        <v>55</v>
      </c>
      <c r="AA11" s="17">
        <v>6.0007072592E10</v>
      </c>
      <c r="AB11" s="11" t="s">
        <v>159</v>
      </c>
      <c r="AC11" s="18"/>
      <c r="AD11" s="18">
        <v>35000.0</v>
      </c>
      <c r="AE11" s="19"/>
      <c r="AF11" s="28">
        <f>12000000*0.65</f>
        <v>7800000</v>
      </c>
      <c r="AG11" s="28">
        <f>12000000*0.35</f>
        <v>4200000</v>
      </c>
      <c r="AH11" s="12">
        <v>2.4196323497E10</v>
      </c>
      <c r="AI11" s="22" t="s">
        <v>160</v>
      </c>
    </row>
    <row r="12">
      <c r="A12" s="11" t="s">
        <v>161</v>
      </c>
      <c r="B12" s="11" t="s">
        <v>162</v>
      </c>
      <c r="C12" s="11" t="s">
        <v>163</v>
      </c>
      <c r="D12" s="11" t="s">
        <v>38</v>
      </c>
      <c r="E12" s="12" t="s">
        <v>164</v>
      </c>
      <c r="F12" s="11" t="s">
        <v>165</v>
      </c>
      <c r="G12" s="11" t="s">
        <v>166</v>
      </c>
      <c r="H12" s="11" t="s">
        <v>42</v>
      </c>
      <c r="I12" s="11" t="s">
        <v>167</v>
      </c>
      <c r="J12" s="11" t="s">
        <v>140</v>
      </c>
      <c r="K12" s="11" t="s">
        <v>110</v>
      </c>
      <c r="L12" s="11" t="s">
        <v>168</v>
      </c>
      <c r="M12" s="11" t="s">
        <v>169</v>
      </c>
      <c r="N12" s="12">
        <v>12.0</v>
      </c>
      <c r="O12" s="12" t="s">
        <v>48</v>
      </c>
      <c r="P12" s="12" t="s">
        <v>69</v>
      </c>
      <c r="Q12" s="11" t="s">
        <v>48</v>
      </c>
      <c r="R12" s="11" t="s">
        <v>50</v>
      </c>
      <c r="S12" s="11" t="s">
        <v>51</v>
      </c>
      <c r="T12" s="11" t="s">
        <v>170</v>
      </c>
      <c r="U12" s="12" t="s">
        <v>52</v>
      </c>
      <c r="V12" s="12" t="s">
        <v>53</v>
      </c>
      <c r="W12" s="14">
        <v>42005.0</v>
      </c>
      <c r="X12" s="15" t="str">
        <f>(DATEDIF(W12,NOW(),"y")  &amp;"Year")&amp; DATEDIF(W12,NOW(),"YM")&amp;"Months"&amp; DATEDIF(W12,NOW(),"MD")&amp;"Days"</f>
        <v>11Year8Months22Days</v>
      </c>
      <c r="Y12" s="25" t="s">
        <v>54</v>
      </c>
      <c r="Z12" s="11" t="s">
        <v>55</v>
      </c>
      <c r="AA12" s="17">
        <v>1.4500173464E12</v>
      </c>
      <c r="AB12" s="11" t="s">
        <v>171</v>
      </c>
      <c r="AC12" s="18"/>
      <c r="AD12" s="18">
        <v>35000.0</v>
      </c>
      <c r="AE12" s="19"/>
      <c r="AF12" s="31">
        <v>3500000.0</v>
      </c>
      <c r="AG12" s="32"/>
      <c r="AH12" s="12">
        <v>2.2124069752E10</v>
      </c>
      <c r="AI12" s="22" t="s">
        <v>172</v>
      </c>
    </row>
    <row r="13">
      <c r="A13" s="11" t="s">
        <v>58</v>
      </c>
      <c r="B13" s="11" t="s">
        <v>173</v>
      </c>
      <c r="C13" s="11" t="s">
        <v>174</v>
      </c>
      <c r="D13" s="11" t="s">
        <v>38</v>
      </c>
      <c r="E13" s="12" t="s">
        <v>175</v>
      </c>
      <c r="F13" s="11" t="s">
        <v>176</v>
      </c>
      <c r="G13" s="11" t="s">
        <v>177</v>
      </c>
      <c r="H13" s="11" t="s">
        <v>178</v>
      </c>
      <c r="I13" s="11" t="s">
        <v>179</v>
      </c>
      <c r="J13" s="11" t="s">
        <v>140</v>
      </c>
      <c r="K13" s="11" t="s">
        <v>110</v>
      </c>
      <c r="L13" s="11" t="s">
        <v>180</v>
      </c>
      <c r="M13" s="11" t="s">
        <v>181</v>
      </c>
      <c r="N13" s="12">
        <v>12.0</v>
      </c>
      <c r="O13" s="12" t="s">
        <v>48</v>
      </c>
      <c r="P13" s="12" t="s">
        <v>49</v>
      </c>
      <c r="Q13" s="11" t="s">
        <v>48</v>
      </c>
      <c r="R13" s="11" t="s">
        <v>70</v>
      </c>
      <c r="S13" s="11" t="s">
        <v>71</v>
      </c>
      <c r="T13" s="11" t="s">
        <v>182</v>
      </c>
      <c r="U13" s="12" t="s">
        <v>52</v>
      </c>
      <c r="V13" s="13" t="s">
        <v>53</v>
      </c>
      <c r="W13" s="14">
        <v>44713.0</v>
      </c>
      <c r="X13" s="15" t="str">
        <f t="shared" ref="X13:X21" si="2">(DATEDIF(W13,NOW(),"y")  &amp;"Year")&amp;DATEDIF(W13,NOW(),"YM")&amp;"Months"&amp;DATEDIF(W13,NOW(),"MD")&amp;"Days"</f>
        <v>4Year3Months22Days</v>
      </c>
      <c r="Y13" s="25" t="s">
        <v>54</v>
      </c>
      <c r="Z13" s="11" t="s">
        <v>55</v>
      </c>
      <c r="AA13" s="17">
        <v>1.450013016338E12</v>
      </c>
      <c r="AB13" s="11" t="s">
        <v>183</v>
      </c>
      <c r="AC13" s="18"/>
      <c r="AD13" s="18">
        <v>35000.0</v>
      </c>
      <c r="AE13" s="33" t="s">
        <v>184</v>
      </c>
      <c r="AF13" s="28">
        <v>4875000.0</v>
      </c>
      <c r="AG13" s="28">
        <v>1625000.0</v>
      </c>
      <c r="AH13" s="12">
        <v>2.2091692065E10</v>
      </c>
      <c r="AI13" s="22" t="s">
        <v>185</v>
      </c>
    </row>
    <row r="14">
      <c r="A14" s="11" t="s">
        <v>186</v>
      </c>
      <c r="B14" s="11" t="s">
        <v>187</v>
      </c>
      <c r="C14" s="11" t="s">
        <v>188</v>
      </c>
      <c r="D14" s="11" t="s">
        <v>38</v>
      </c>
      <c r="E14" s="12" t="s">
        <v>189</v>
      </c>
      <c r="F14" s="11" t="s">
        <v>190</v>
      </c>
      <c r="G14" s="11" t="s">
        <v>191</v>
      </c>
      <c r="H14" s="11" t="s">
        <v>192</v>
      </c>
      <c r="I14" s="11" t="s">
        <v>193</v>
      </c>
      <c r="J14" s="11" t="s">
        <v>44</v>
      </c>
      <c r="K14" s="11" t="s">
        <v>127</v>
      </c>
      <c r="L14" s="11" t="s">
        <v>194</v>
      </c>
      <c r="M14" s="11" t="s">
        <v>195</v>
      </c>
      <c r="N14" s="12">
        <v>12.0</v>
      </c>
      <c r="O14" s="12" t="s">
        <v>48</v>
      </c>
      <c r="P14" s="12" t="s">
        <v>49</v>
      </c>
      <c r="Q14" s="11" t="s">
        <v>48</v>
      </c>
      <c r="R14" s="11" t="s">
        <v>70</v>
      </c>
      <c r="S14" s="11" t="s">
        <v>71</v>
      </c>
      <c r="T14" s="11" t="s">
        <v>182</v>
      </c>
      <c r="U14" s="12" t="s">
        <v>52</v>
      </c>
      <c r="V14" s="13" t="s">
        <v>53</v>
      </c>
      <c r="W14" s="14">
        <v>42005.0</v>
      </c>
      <c r="X14" s="15" t="str">
        <f t="shared" si="2"/>
        <v>11Year8Months22Days</v>
      </c>
      <c r="Y14" s="25" t="s">
        <v>54</v>
      </c>
      <c r="Z14" s="11" t="s">
        <v>55</v>
      </c>
      <c r="AA14" s="17">
        <v>1.450017622784E12</v>
      </c>
      <c r="AB14" s="11" t="s">
        <v>196</v>
      </c>
      <c r="AC14" s="18"/>
      <c r="AD14" s="18">
        <v>35000.0</v>
      </c>
      <c r="AE14" s="33" t="s">
        <v>184</v>
      </c>
      <c r="AF14" s="28">
        <v>4875000.0</v>
      </c>
      <c r="AG14" s="28">
        <v>1625000.0</v>
      </c>
      <c r="AH14" s="12">
        <v>2.2035368608E10</v>
      </c>
      <c r="AI14" s="22" t="s">
        <v>197</v>
      </c>
    </row>
    <row r="15">
      <c r="A15" s="11" t="s">
        <v>198</v>
      </c>
      <c r="B15" s="11" t="s">
        <v>199</v>
      </c>
      <c r="C15" s="11" t="s">
        <v>200</v>
      </c>
      <c r="D15" s="11" t="s">
        <v>38</v>
      </c>
      <c r="E15" s="12" t="s">
        <v>201</v>
      </c>
      <c r="F15" s="11" t="s">
        <v>202</v>
      </c>
      <c r="G15" s="11" t="s">
        <v>203</v>
      </c>
      <c r="H15" s="11" t="s">
        <v>204</v>
      </c>
      <c r="I15" s="11" t="s">
        <v>205</v>
      </c>
      <c r="J15" s="11" t="s">
        <v>44</v>
      </c>
      <c r="K15" s="11" t="s">
        <v>127</v>
      </c>
      <c r="L15" s="11" t="s">
        <v>206</v>
      </c>
      <c r="M15" s="11" t="s">
        <v>207</v>
      </c>
      <c r="N15" s="12">
        <v>12.0</v>
      </c>
      <c r="O15" s="12" t="s">
        <v>48</v>
      </c>
      <c r="P15" s="12" t="s">
        <v>49</v>
      </c>
      <c r="Q15" s="11" t="s">
        <v>48</v>
      </c>
      <c r="R15" s="11" t="s">
        <v>70</v>
      </c>
      <c r="S15" s="11" t="s">
        <v>71</v>
      </c>
      <c r="T15" s="11" t="s">
        <v>182</v>
      </c>
      <c r="U15" s="12" t="s">
        <v>52</v>
      </c>
      <c r="V15" s="13" t="s">
        <v>53</v>
      </c>
      <c r="W15" s="14">
        <v>45786.0</v>
      </c>
      <c r="X15" s="15" t="str">
        <f t="shared" si="2"/>
        <v>1Year4Months14Days</v>
      </c>
      <c r="Y15" s="25" t="s">
        <v>54</v>
      </c>
      <c r="Z15" s="11" t="s">
        <v>55</v>
      </c>
      <c r="AA15" s="17">
        <v>1.450016393056E12</v>
      </c>
      <c r="AB15" s="11" t="s">
        <v>208</v>
      </c>
      <c r="AC15" s="18"/>
      <c r="AD15" s="18">
        <v>35000.0</v>
      </c>
      <c r="AE15" s="33" t="s">
        <v>184</v>
      </c>
      <c r="AF15" s="28">
        <v>4875000.0</v>
      </c>
      <c r="AG15" s="28">
        <v>1625000.0</v>
      </c>
      <c r="AH15" s="12">
        <v>2.6092827059E10</v>
      </c>
      <c r="AI15" s="22" t="s">
        <v>209</v>
      </c>
    </row>
    <row r="16">
      <c r="A16" s="11" t="s">
        <v>58</v>
      </c>
      <c r="B16" s="11" t="s">
        <v>210</v>
      </c>
      <c r="C16" s="11" t="s">
        <v>211</v>
      </c>
      <c r="D16" s="11" t="s">
        <v>38</v>
      </c>
      <c r="E16" s="12" t="s">
        <v>212</v>
      </c>
      <c r="F16" s="11" t="s">
        <v>213</v>
      </c>
      <c r="G16" s="11" t="s">
        <v>214</v>
      </c>
      <c r="H16" s="11" t="s">
        <v>215</v>
      </c>
      <c r="I16" s="11" t="s">
        <v>216</v>
      </c>
      <c r="J16" s="11" t="s">
        <v>140</v>
      </c>
      <c r="K16" s="11" t="s">
        <v>127</v>
      </c>
      <c r="L16" s="11" t="s">
        <v>217</v>
      </c>
      <c r="M16" s="11" t="s">
        <v>218</v>
      </c>
      <c r="N16" s="12">
        <v>12.0</v>
      </c>
      <c r="O16" s="12" t="s">
        <v>48</v>
      </c>
      <c r="P16" s="12" t="s">
        <v>49</v>
      </c>
      <c r="Q16" s="11" t="s">
        <v>48</v>
      </c>
      <c r="R16" s="11" t="s">
        <v>70</v>
      </c>
      <c r="S16" s="11" t="s">
        <v>71</v>
      </c>
      <c r="T16" s="11" t="s">
        <v>182</v>
      </c>
      <c r="U16" s="12" t="s">
        <v>52</v>
      </c>
      <c r="V16" s="13" t="s">
        <v>53</v>
      </c>
      <c r="W16" s="14">
        <v>44562.0</v>
      </c>
      <c r="X16" s="15" t="str">
        <f t="shared" si="2"/>
        <v>4Year8Months22Days</v>
      </c>
      <c r="Y16" s="25" t="s">
        <v>54</v>
      </c>
      <c r="Z16" s="11" t="s">
        <v>55</v>
      </c>
      <c r="AA16" s="17">
        <v>1.450017364841E12</v>
      </c>
      <c r="AB16" s="11" t="s">
        <v>219</v>
      </c>
      <c r="AC16" s="18"/>
      <c r="AD16" s="18">
        <v>35000.0</v>
      </c>
      <c r="AE16" s="33" t="s">
        <v>184</v>
      </c>
      <c r="AF16" s="28">
        <v>4125000.0</v>
      </c>
      <c r="AG16" s="28">
        <v>1375000.0</v>
      </c>
      <c r="AH16" s="12">
        <v>2.3010237586E10</v>
      </c>
      <c r="AI16" s="22" t="s">
        <v>220</v>
      </c>
    </row>
    <row r="17">
      <c r="A17" s="11" t="s">
        <v>221</v>
      </c>
      <c r="B17" s="11" t="s">
        <v>222</v>
      </c>
      <c r="C17" s="11" t="s">
        <v>223</v>
      </c>
      <c r="D17" s="11" t="s">
        <v>38</v>
      </c>
      <c r="E17" s="12" t="s">
        <v>224</v>
      </c>
      <c r="F17" s="11" t="s">
        <v>225</v>
      </c>
      <c r="G17" s="11" t="s">
        <v>226</v>
      </c>
      <c r="H17" s="11" t="s">
        <v>178</v>
      </c>
      <c r="I17" s="11" t="s">
        <v>227</v>
      </c>
      <c r="J17" s="11" t="s">
        <v>140</v>
      </c>
      <c r="K17" s="11" t="s">
        <v>127</v>
      </c>
      <c r="L17" s="23" t="s">
        <v>228</v>
      </c>
      <c r="M17" s="11" t="s">
        <v>229</v>
      </c>
      <c r="N17" s="12">
        <v>12.0</v>
      </c>
      <c r="O17" s="12" t="s">
        <v>48</v>
      </c>
      <c r="P17" s="12" t="s">
        <v>49</v>
      </c>
      <c r="Q17" s="11" t="s">
        <v>48</v>
      </c>
      <c r="R17" s="11" t="s">
        <v>70</v>
      </c>
      <c r="S17" s="11" t="s">
        <v>71</v>
      </c>
      <c r="T17" s="11" t="s">
        <v>182</v>
      </c>
      <c r="U17" s="12" t="s">
        <v>230</v>
      </c>
      <c r="V17" s="12" t="s">
        <v>113</v>
      </c>
      <c r="W17" s="14">
        <v>46177.0</v>
      </c>
      <c r="X17" s="15" t="str">
        <f t="shared" si="2"/>
        <v>0Year3Months19Days</v>
      </c>
      <c r="Y17" s="25" t="s">
        <v>54</v>
      </c>
      <c r="Z17" s="11" t="s">
        <v>55</v>
      </c>
      <c r="AA17" s="17">
        <v>9.000040555998E12</v>
      </c>
      <c r="AB17" s="11" t="s">
        <v>231</v>
      </c>
      <c r="AC17" s="18"/>
      <c r="AD17" s="18">
        <v>35000.0</v>
      </c>
      <c r="AE17" s="33" t="s">
        <v>184</v>
      </c>
      <c r="AF17" s="28">
        <v>4875000.0</v>
      </c>
      <c r="AG17" s="28">
        <v>1625000.0</v>
      </c>
      <c r="AH17" s="29" t="s">
        <v>232</v>
      </c>
      <c r="AI17" s="29" t="s">
        <v>232</v>
      </c>
    </row>
    <row r="18">
      <c r="A18" s="11" t="s">
        <v>233</v>
      </c>
      <c r="B18" s="11" t="s">
        <v>234</v>
      </c>
      <c r="C18" s="11" t="s">
        <v>235</v>
      </c>
      <c r="D18" s="11" t="s">
        <v>38</v>
      </c>
      <c r="E18" s="12" t="s">
        <v>236</v>
      </c>
      <c r="F18" s="11" t="s">
        <v>237</v>
      </c>
      <c r="G18" s="11" t="s">
        <v>238</v>
      </c>
      <c r="H18" s="11" t="s">
        <v>178</v>
      </c>
      <c r="I18" s="11" t="s">
        <v>239</v>
      </c>
      <c r="J18" s="11" t="s">
        <v>44</v>
      </c>
      <c r="K18" s="11" t="s">
        <v>127</v>
      </c>
      <c r="L18" s="11" t="s">
        <v>240</v>
      </c>
      <c r="M18" s="11" t="s">
        <v>241</v>
      </c>
      <c r="N18" s="12">
        <v>12.0</v>
      </c>
      <c r="O18" s="12" t="s">
        <v>48</v>
      </c>
      <c r="P18" s="12" t="s">
        <v>69</v>
      </c>
      <c r="Q18" s="11" t="s">
        <v>48</v>
      </c>
      <c r="R18" s="11" t="s">
        <v>50</v>
      </c>
      <c r="S18" s="11" t="s">
        <v>51</v>
      </c>
      <c r="T18" s="11" t="s">
        <v>242</v>
      </c>
      <c r="U18" s="12" t="s">
        <v>52</v>
      </c>
      <c r="V18" s="12" t="s">
        <v>53</v>
      </c>
      <c r="W18" s="14">
        <v>45718.0</v>
      </c>
      <c r="X18" s="15" t="str">
        <f t="shared" si="2"/>
        <v>1Year6Months21Days</v>
      </c>
      <c r="Y18" s="25" t="s">
        <v>114</v>
      </c>
      <c r="Z18" s="11" t="s">
        <v>55</v>
      </c>
      <c r="AA18" s="17">
        <v>1.450012887168E12</v>
      </c>
      <c r="AB18" s="11" t="s">
        <v>243</v>
      </c>
      <c r="AC18" s="18"/>
      <c r="AD18" s="18">
        <v>35000.0</v>
      </c>
      <c r="AE18" s="19"/>
      <c r="AF18" s="28">
        <v>5525000.0</v>
      </c>
      <c r="AG18" s="28">
        <v>2975000.0</v>
      </c>
      <c r="AH18" s="12">
        <v>1.8067248395E10</v>
      </c>
      <c r="AI18" s="22" t="s">
        <v>244</v>
      </c>
    </row>
    <row r="19">
      <c r="A19" s="11" t="s">
        <v>245</v>
      </c>
      <c r="B19" s="11" t="s">
        <v>246</v>
      </c>
      <c r="C19" s="11" t="s">
        <v>247</v>
      </c>
      <c r="D19" s="11" t="s">
        <v>38</v>
      </c>
      <c r="E19" s="12" t="s">
        <v>248</v>
      </c>
      <c r="F19" s="11" t="s">
        <v>249</v>
      </c>
      <c r="G19" s="11" t="s">
        <v>250</v>
      </c>
      <c r="H19" s="11" t="s">
        <v>178</v>
      </c>
      <c r="I19" s="11" t="s">
        <v>251</v>
      </c>
      <c r="J19" s="11" t="s">
        <v>140</v>
      </c>
      <c r="K19" s="11" t="s">
        <v>127</v>
      </c>
      <c r="L19" s="11" t="s">
        <v>252</v>
      </c>
      <c r="M19" s="11" t="s">
        <v>253</v>
      </c>
      <c r="N19" s="12">
        <v>12.0</v>
      </c>
      <c r="O19" s="12" t="s">
        <v>48</v>
      </c>
      <c r="P19" s="12" t="s">
        <v>69</v>
      </c>
      <c r="Q19" s="11" t="s">
        <v>48</v>
      </c>
      <c r="R19" s="11" t="s">
        <v>50</v>
      </c>
      <c r="S19" s="11" t="s">
        <v>51</v>
      </c>
      <c r="T19" s="11" t="s">
        <v>254</v>
      </c>
      <c r="U19" s="12" t="s">
        <v>52</v>
      </c>
      <c r="V19" s="12" t="s">
        <v>53</v>
      </c>
      <c r="W19" s="14">
        <v>44562.0</v>
      </c>
      <c r="X19" s="15" t="str">
        <f t="shared" si="2"/>
        <v>4Year8Months22Days</v>
      </c>
      <c r="Y19" s="25" t="s">
        <v>54</v>
      </c>
      <c r="Z19" s="11" t="s">
        <v>55</v>
      </c>
      <c r="AA19" s="17">
        <v>1.450017622719E12</v>
      </c>
      <c r="AB19" s="11" t="s">
        <v>255</v>
      </c>
      <c r="AC19" s="18"/>
      <c r="AD19" s="18">
        <v>35000.0</v>
      </c>
      <c r="AE19" s="19"/>
      <c r="AF19" s="28">
        <v>5250000.0</v>
      </c>
      <c r="AG19" s="28">
        <v>1750000.0</v>
      </c>
      <c r="AH19" s="12">
        <v>2.1045632318E10</v>
      </c>
      <c r="AI19" s="22" t="s">
        <v>256</v>
      </c>
    </row>
    <row r="20">
      <c r="A20" s="11" t="s">
        <v>257</v>
      </c>
      <c r="B20" s="11" t="s">
        <v>258</v>
      </c>
      <c r="C20" s="11" t="s">
        <v>259</v>
      </c>
      <c r="D20" s="11" t="s">
        <v>38</v>
      </c>
      <c r="E20" s="12" t="s">
        <v>260</v>
      </c>
      <c r="F20" s="11" t="s">
        <v>261</v>
      </c>
      <c r="G20" s="11" t="s">
        <v>262</v>
      </c>
      <c r="H20" s="11" t="s">
        <v>178</v>
      </c>
      <c r="I20" s="11" t="s">
        <v>263</v>
      </c>
      <c r="J20" s="11" t="s">
        <v>140</v>
      </c>
      <c r="K20" s="11" t="s">
        <v>127</v>
      </c>
      <c r="L20" s="11" t="s">
        <v>264</v>
      </c>
      <c r="M20" s="11" t="s">
        <v>265</v>
      </c>
      <c r="N20" s="12">
        <v>12.0</v>
      </c>
      <c r="O20" s="12" t="s">
        <v>48</v>
      </c>
      <c r="P20" s="12" t="s">
        <v>49</v>
      </c>
      <c r="Q20" s="11" t="s">
        <v>48</v>
      </c>
      <c r="R20" s="11" t="s">
        <v>50</v>
      </c>
      <c r="S20" s="11" t="s">
        <v>51</v>
      </c>
      <c r="T20" s="11" t="s">
        <v>266</v>
      </c>
      <c r="U20" s="12" t="s">
        <v>52</v>
      </c>
      <c r="V20" s="12" t="s">
        <v>53</v>
      </c>
      <c r="W20" s="14">
        <v>44927.0</v>
      </c>
      <c r="X20" s="15" t="str">
        <f t="shared" si="2"/>
        <v>3Year8Months22Days</v>
      </c>
      <c r="Y20" s="25" t="s">
        <v>54</v>
      </c>
      <c r="Z20" s="11" t="s">
        <v>55</v>
      </c>
      <c r="AA20" s="17">
        <v>1.750002276383E12</v>
      </c>
      <c r="AB20" s="11" t="s">
        <v>267</v>
      </c>
      <c r="AC20" s="18"/>
      <c r="AD20" s="18">
        <v>35000.0</v>
      </c>
      <c r="AE20" s="19"/>
      <c r="AF20" s="28">
        <v>4125000.0</v>
      </c>
      <c r="AG20" s="28">
        <v>1375000.0</v>
      </c>
      <c r="AH20" s="12">
        <v>2.4000271072E10</v>
      </c>
      <c r="AI20" s="22" t="s">
        <v>268</v>
      </c>
    </row>
    <row r="21">
      <c r="A21" s="11" t="s">
        <v>269</v>
      </c>
      <c r="B21" s="11" t="s">
        <v>270</v>
      </c>
      <c r="C21" s="11" t="s">
        <v>271</v>
      </c>
      <c r="D21" s="11" t="s">
        <v>38</v>
      </c>
      <c r="E21" s="12" t="s">
        <v>272</v>
      </c>
      <c r="F21" s="11" t="s">
        <v>273</v>
      </c>
      <c r="G21" s="11" t="s">
        <v>274</v>
      </c>
      <c r="H21" s="11" t="s">
        <v>125</v>
      </c>
      <c r="I21" s="11" t="s">
        <v>275</v>
      </c>
      <c r="J21" s="11" t="s">
        <v>140</v>
      </c>
      <c r="K21" s="11" t="s">
        <v>45</v>
      </c>
      <c r="L21" s="11" t="s">
        <v>276</v>
      </c>
      <c r="M21" s="11" t="s">
        <v>277</v>
      </c>
      <c r="N21" s="12">
        <v>12.0</v>
      </c>
      <c r="O21" s="12" t="s">
        <v>48</v>
      </c>
      <c r="P21" s="12" t="s">
        <v>69</v>
      </c>
      <c r="Q21" s="11" t="s">
        <v>48</v>
      </c>
      <c r="R21" s="11" t="s">
        <v>50</v>
      </c>
      <c r="S21" s="11" t="s">
        <v>51</v>
      </c>
      <c r="T21" s="11" t="s">
        <v>278</v>
      </c>
      <c r="U21" s="12" t="s">
        <v>230</v>
      </c>
      <c r="V21" s="12" t="s">
        <v>113</v>
      </c>
      <c r="W21" s="14">
        <v>46062.0</v>
      </c>
      <c r="X21" s="15" t="str">
        <f t="shared" si="2"/>
        <v>0Year7Months14Days</v>
      </c>
      <c r="Y21" s="25" t="s">
        <v>54</v>
      </c>
      <c r="Z21" s="11" t="s">
        <v>55</v>
      </c>
      <c r="AA21" s="17">
        <v>1.450018489258E12</v>
      </c>
      <c r="AB21" s="11" t="s">
        <v>279</v>
      </c>
      <c r="AC21" s="18"/>
      <c r="AD21" s="18">
        <v>35000.0</v>
      </c>
      <c r="AE21" s="19"/>
      <c r="AF21" s="28">
        <v>6000000.0</v>
      </c>
      <c r="AG21" s="28">
        <v>2000000.0</v>
      </c>
      <c r="AH21" s="12">
        <v>2.6093680317E10</v>
      </c>
      <c r="AI21" s="22" t="s">
        <v>280</v>
      </c>
    </row>
    <row r="22">
      <c r="A22" s="11" t="s">
        <v>103</v>
      </c>
      <c r="B22" s="11" t="s">
        <v>281</v>
      </c>
      <c r="C22" s="11" t="s">
        <v>282</v>
      </c>
      <c r="D22" s="11" t="s">
        <v>38</v>
      </c>
      <c r="E22" s="24"/>
      <c r="F22" s="24"/>
      <c r="G22" s="24"/>
      <c r="H22" s="24"/>
      <c r="I22" s="24"/>
      <c r="J22" s="34" t="s">
        <v>140</v>
      </c>
      <c r="K22" s="11" t="s">
        <v>45</v>
      </c>
      <c r="L22" s="35" t="s">
        <v>283</v>
      </c>
      <c r="M22" s="24"/>
      <c r="N22" s="12">
        <v>12.0</v>
      </c>
      <c r="O22" s="12" t="s">
        <v>48</v>
      </c>
      <c r="P22" s="24"/>
      <c r="Q22" s="11" t="s">
        <v>48</v>
      </c>
      <c r="R22" s="24"/>
      <c r="S22" s="11" t="s">
        <v>71</v>
      </c>
      <c r="T22" s="11" t="s">
        <v>284</v>
      </c>
      <c r="U22" s="12" t="s">
        <v>230</v>
      </c>
      <c r="V22" s="24"/>
      <c r="W22" s="36"/>
      <c r="X22" s="36"/>
      <c r="Y22" s="37"/>
      <c r="Z22" s="24"/>
      <c r="AA22" s="24"/>
      <c r="AB22" s="24"/>
      <c r="AC22" s="18"/>
      <c r="AD22" s="18">
        <v>35000.0</v>
      </c>
      <c r="AE22" s="19"/>
      <c r="AF22" s="38"/>
      <c r="AG22" s="38"/>
      <c r="AH22" s="39"/>
      <c r="AI22" s="39"/>
    </row>
    <row r="23">
      <c r="A23" s="11" t="s">
        <v>285</v>
      </c>
      <c r="B23" s="11" t="s">
        <v>286</v>
      </c>
      <c r="C23" s="11" t="s">
        <v>287</v>
      </c>
      <c r="D23" s="11" t="s">
        <v>38</v>
      </c>
      <c r="E23" s="12" t="s">
        <v>288</v>
      </c>
      <c r="F23" s="11" t="s">
        <v>289</v>
      </c>
      <c r="G23" s="11" t="s">
        <v>290</v>
      </c>
      <c r="H23" s="11" t="s">
        <v>291</v>
      </c>
      <c r="I23" s="11" t="s">
        <v>292</v>
      </c>
      <c r="J23" s="11" t="s">
        <v>44</v>
      </c>
      <c r="K23" s="11" t="s">
        <v>83</v>
      </c>
      <c r="L23" s="11" t="s">
        <v>293</v>
      </c>
      <c r="M23" s="11" t="s">
        <v>294</v>
      </c>
      <c r="N23" s="12">
        <v>30.0</v>
      </c>
      <c r="O23" s="12" t="s">
        <v>295</v>
      </c>
      <c r="P23" s="12" t="s">
        <v>69</v>
      </c>
      <c r="Q23" s="11" t="s">
        <v>296</v>
      </c>
      <c r="R23" s="11" t="s">
        <v>50</v>
      </c>
      <c r="S23" s="11" t="s">
        <v>51</v>
      </c>
      <c r="T23" s="11" t="s">
        <v>297</v>
      </c>
      <c r="U23" s="12" t="s">
        <v>52</v>
      </c>
      <c r="V23" s="12" t="s">
        <v>53</v>
      </c>
      <c r="W23" s="14">
        <v>43104.0</v>
      </c>
      <c r="X23" s="40" t="str">
        <f t="shared" ref="X23:X60" si="3">(DATEDIF(W23,NOW(),"y")  &amp;"Year")&amp;DATEDIF(W23,NOW(),"YM")&amp;"Months"&amp;DATEDIF(W23,NOW(),"MD")&amp;"Days"</f>
        <v>8Year8Months19Days</v>
      </c>
      <c r="Y23" s="25" t="s">
        <v>114</v>
      </c>
      <c r="Z23" s="11" t="s">
        <v>55</v>
      </c>
      <c r="AA23" s="17">
        <v>1.450014914747E12</v>
      </c>
      <c r="AB23" s="11" t="s">
        <v>298</v>
      </c>
      <c r="AC23" s="18">
        <v>200000.0</v>
      </c>
      <c r="AD23" s="18"/>
      <c r="AE23" s="19"/>
      <c r="AF23" s="28">
        <v>6000000.0</v>
      </c>
      <c r="AG23" s="28">
        <v>2000000.0</v>
      </c>
      <c r="AH23" s="12">
        <v>2.2071549897E10</v>
      </c>
      <c r="AI23" s="22" t="s">
        <v>299</v>
      </c>
    </row>
    <row r="24">
      <c r="A24" s="11" t="s">
        <v>300</v>
      </c>
      <c r="B24" s="11" t="s">
        <v>301</v>
      </c>
      <c r="C24" s="11" t="s">
        <v>302</v>
      </c>
      <c r="D24" s="11" t="s">
        <v>38</v>
      </c>
      <c r="E24" s="12" t="s">
        <v>303</v>
      </c>
      <c r="F24" s="11" t="s">
        <v>304</v>
      </c>
      <c r="G24" s="11" t="s">
        <v>305</v>
      </c>
      <c r="H24" s="11" t="s">
        <v>306</v>
      </c>
      <c r="I24" s="11" t="s">
        <v>307</v>
      </c>
      <c r="J24" s="11" t="s">
        <v>44</v>
      </c>
      <c r="K24" s="11" t="s">
        <v>83</v>
      </c>
      <c r="L24" s="11" t="s">
        <v>308</v>
      </c>
      <c r="M24" s="11" t="s">
        <v>309</v>
      </c>
      <c r="N24" s="12">
        <v>30.0</v>
      </c>
      <c r="O24" s="12" t="s">
        <v>295</v>
      </c>
      <c r="P24" s="12" t="s">
        <v>69</v>
      </c>
      <c r="Q24" s="11" t="s">
        <v>296</v>
      </c>
      <c r="R24" s="11" t="s">
        <v>50</v>
      </c>
      <c r="S24" s="11" t="s">
        <v>51</v>
      </c>
      <c r="T24" s="11" t="s">
        <v>310</v>
      </c>
      <c r="U24" s="12" t="s">
        <v>52</v>
      </c>
      <c r="V24" s="12" t="s">
        <v>53</v>
      </c>
      <c r="W24" s="14">
        <v>42938.0</v>
      </c>
      <c r="X24" s="40" t="str">
        <f t="shared" si="3"/>
        <v>9Year2Months1Days</v>
      </c>
      <c r="Y24" s="25" t="s">
        <v>114</v>
      </c>
      <c r="Z24" s="11" t="s">
        <v>55</v>
      </c>
      <c r="AA24" s="17">
        <v>1.450014914788E12</v>
      </c>
      <c r="AB24" s="11" t="s">
        <v>311</v>
      </c>
      <c r="AC24" s="18">
        <v>150000.0</v>
      </c>
      <c r="AD24" s="18"/>
      <c r="AE24" s="19"/>
      <c r="AF24" s="28">
        <v>4875000.0</v>
      </c>
      <c r="AG24" s="28">
        <v>1625000.0</v>
      </c>
      <c r="AH24" s="12">
        <v>2.2071549996E10</v>
      </c>
      <c r="AI24" s="41" t="s">
        <v>312</v>
      </c>
    </row>
    <row r="25">
      <c r="A25" s="11" t="s">
        <v>313</v>
      </c>
      <c r="B25" s="11" t="s">
        <v>314</v>
      </c>
      <c r="C25" s="11" t="s">
        <v>315</v>
      </c>
      <c r="D25" s="11" t="s">
        <v>38</v>
      </c>
      <c r="E25" s="12" t="s">
        <v>316</v>
      </c>
      <c r="F25" s="11" t="s">
        <v>317</v>
      </c>
      <c r="G25" s="11" t="s">
        <v>318</v>
      </c>
      <c r="H25" s="11" t="s">
        <v>319</v>
      </c>
      <c r="I25" s="11" t="s">
        <v>320</v>
      </c>
      <c r="J25" s="11" t="s">
        <v>44</v>
      </c>
      <c r="K25" s="11" t="s">
        <v>83</v>
      </c>
      <c r="L25" s="11" t="s">
        <v>321</v>
      </c>
      <c r="M25" s="11" t="s">
        <v>322</v>
      </c>
      <c r="N25" s="12">
        <v>30.0</v>
      </c>
      <c r="O25" s="12" t="s">
        <v>295</v>
      </c>
      <c r="P25" s="12" t="s">
        <v>69</v>
      </c>
      <c r="Q25" s="11" t="s">
        <v>296</v>
      </c>
      <c r="R25" s="11" t="s">
        <v>50</v>
      </c>
      <c r="S25" s="11" t="s">
        <v>51</v>
      </c>
      <c r="T25" s="11" t="s">
        <v>323</v>
      </c>
      <c r="U25" s="12" t="s">
        <v>52</v>
      </c>
      <c r="V25" s="12" t="s">
        <v>53</v>
      </c>
      <c r="W25" s="14">
        <v>43132.0</v>
      </c>
      <c r="X25" s="40" t="str">
        <f t="shared" si="3"/>
        <v>8Year7Months22Days</v>
      </c>
      <c r="Y25" s="25" t="s">
        <v>324</v>
      </c>
      <c r="Z25" s="11" t="s">
        <v>55</v>
      </c>
      <c r="AA25" s="17">
        <v>1.45001491477E12</v>
      </c>
      <c r="AB25" s="11" t="s">
        <v>325</v>
      </c>
      <c r="AC25" s="18">
        <v>150000.0</v>
      </c>
      <c r="AD25" s="18"/>
      <c r="AE25" s="19"/>
      <c r="AF25" s="28">
        <v>4500000.0</v>
      </c>
      <c r="AG25" s="28">
        <v>0.0</v>
      </c>
      <c r="AH25" s="12">
        <v>2.2071550036E10</v>
      </c>
      <c r="AI25" s="22" t="s">
        <v>326</v>
      </c>
    </row>
    <row r="26">
      <c r="A26" s="11" t="s">
        <v>327</v>
      </c>
      <c r="B26" s="11" t="s">
        <v>328</v>
      </c>
      <c r="C26" s="11" t="s">
        <v>329</v>
      </c>
      <c r="D26" s="11" t="s">
        <v>38</v>
      </c>
      <c r="E26" s="12" t="s">
        <v>330</v>
      </c>
      <c r="F26" s="11" t="s">
        <v>331</v>
      </c>
      <c r="G26" s="11" t="s">
        <v>332</v>
      </c>
      <c r="H26" s="11" t="s">
        <v>333</v>
      </c>
      <c r="I26" s="11" t="s">
        <v>334</v>
      </c>
      <c r="J26" s="11" t="s">
        <v>44</v>
      </c>
      <c r="K26" s="11" t="s">
        <v>83</v>
      </c>
      <c r="L26" s="11" t="s">
        <v>335</v>
      </c>
      <c r="M26" s="11" t="s">
        <v>336</v>
      </c>
      <c r="N26" s="12">
        <v>30.0</v>
      </c>
      <c r="O26" s="12" t="s">
        <v>295</v>
      </c>
      <c r="P26" s="12" t="s">
        <v>69</v>
      </c>
      <c r="Q26" s="11" t="s">
        <v>296</v>
      </c>
      <c r="R26" s="11" t="s">
        <v>50</v>
      </c>
      <c r="S26" s="11" t="s">
        <v>51</v>
      </c>
      <c r="T26" s="11" t="s">
        <v>337</v>
      </c>
      <c r="U26" s="12" t="s">
        <v>52</v>
      </c>
      <c r="V26" s="12" t="s">
        <v>53</v>
      </c>
      <c r="W26" s="14">
        <v>45292.0</v>
      </c>
      <c r="X26" s="15" t="str">
        <f t="shared" si="3"/>
        <v>2Year8Months22Days</v>
      </c>
      <c r="Y26" s="25" t="s">
        <v>324</v>
      </c>
      <c r="Z26" s="11" t="s">
        <v>55</v>
      </c>
      <c r="AA26" s="17">
        <v>1.45001577225E12</v>
      </c>
      <c r="AB26" s="11" t="s">
        <v>338</v>
      </c>
      <c r="AC26" s="18">
        <v>150000.0</v>
      </c>
      <c r="AD26" s="18"/>
      <c r="AE26" s="19"/>
      <c r="AF26" s="28">
        <v>5000000.0</v>
      </c>
      <c r="AG26" s="28">
        <v>0.0</v>
      </c>
      <c r="AH26" s="12">
        <v>2.210980584E10</v>
      </c>
      <c r="AI26" s="22" t="s">
        <v>339</v>
      </c>
    </row>
    <row r="27">
      <c r="A27" s="11" t="s">
        <v>340</v>
      </c>
      <c r="B27" s="11" t="s">
        <v>341</v>
      </c>
      <c r="C27" s="11" t="s">
        <v>342</v>
      </c>
      <c r="D27" s="11" t="s">
        <v>38</v>
      </c>
      <c r="E27" s="12" t="s">
        <v>343</v>
      </c>
      <c r="F27" s="11" t="s">
        <v>344</v>
      </c>
      <c r="G27" s="11" t="s">
        <v>345</v>
      </c>
      <c r="H27" s="11" t="s">
        <v>346</v>
      </c>
      <c r="I27" s="11" t="s">
        <v>347</v>
      </c>
      <c r="J27" s="11" t="s">
        <v>44</v>
      </c>
      <c r="K27" s="11" t="s">
        <v>83</v>
      </c>
      <c r="L27" s="11" t="s">
        <v>348</v>
      </c>
      <c r="M27" s="11" t="s">
        <v>349</v>
      </c>
      <c r="N27" s="12">
        <v>30.0</v>
      </c>
      <c r="O27" s="12" t="s">
        <v>295</v>
      </c>
      <c r="P27" s="12" t="s">
        <v>69</v>
      </c>
      <c r="Q27" s="11" t="s">
        <v>296</v>
      </c>
      <c r="R27" s="11" t="s">
        <v>50</v>
      </c>
      <c r="S27" s="11" t="s">
        <v>51</v>
      </c>
      <c r="T27" s="11" t="s">
        <v>350</v>
      </c>
      <c r="U27" s="12" t="s">
        <v>52</v>
      </c>
      <c r="V27" s="12" t="s">
        <v>53</v>
      </c>
      <c r="W27" s="14">
        <v>45017.0</v>
      </c>
      <c r="X27" s="15" t="str">
        <f t="shared" si="3"/>
        <v>3Year5Months22Days</v>
      </c>
      <c r="Y27" s="25" t="s">
        <v>72</v>
      </c>
      <c r="Z27" s="11" t="s">
        <v>55</v>
      </c>
      <c r="AA27" s="17">
        <v>1.45001709103E12</v>
      </c>
      <c r="AB27" s="11" t="s">
        <v>351</v>
      </c>
      <c r="AC27" s="18">
        <v>150000.0</v>
      </c>
      <c r="AD27" s="18"/>
      <c r="AE27" s="19"/>
      <c r="AF27" s="28">
        <v>4500000.0</v>
      </c>
      <c r="AG27" s="28">
        <v>0.0</v>
      </c>
      <c r="AH27" s="12">
        <v>2.4196323067E10</v>
      </c>
      <c r="AI27" s="22" t="s">
        <v>352</v>
      </c>
    </row>
    <row r="28">
      <c r="A28" s="11" t="s">
        <v>353</v>
      </c>
      <c r="B28" s="11" t="s">
        <v>354</v>
      </c>
      <c r="C28" s="11" t="s">
        <v>355</v>
      </c>
      <c r="D28" s="11" t="s">
        <v>38</v>
      </c>
      <c r="E28" s="12" t="s">
        <v>356</v>
      </c>
      <c r="F28" s="11" t="s">
        <v>357</v>
      </c>
      <c r="G28" s="11" t="s">
        <v>358</v>
      </c>
      <c r="H28" s="11" t="s">
        <v>359</v>
      </c>
      <c r="I28" s="11" t="s">
        <v>360</v>
      </c>
      <c r="J28" s="11" t="s">
        <v>44</v>
      </c>
      <c r="K28" s="11" t="s">
        <v>83</v>
      </c>
      <c r="L28" s="11" t="s">
        <v>361</v>
      </c>
      <c r="M28" s="11" t="s">
        <v>362</v>
      </c>
      <c r="N28" s="12">
        <v>30.0</v>
      </c>
      <c r="O28" s="12" t="s">
        <v>295</v>
      </c>
      <c r="P28" s="12" t="s">
        <v>69</v>
      </c>
      <c r="Q28" s="11" t="s">
        <v>296</v>
      </c>
      <c r="R28" s="11" t="s">
        <v>50</v>
      </c>
      <c r="S28" s="11" t="s">
        <v>51</v>
      </c>
      <c r="T28" s="11" t="s">
        <v>363</v>
      </c>
      <c r="U28" s="12" t="s">
        <v>52</v>
      </c>
      <c r="V28" s="12" t="s">
        <v>53</v>
      </c>
      <c r="W28" s="14">
        <v>45835.0</v>
      </c>
      <c r="X28" s="15" t="str">
        <f t="shared" si="3"/>
        <v>1Year2Months27Days</v>
      </c>
      <c r="Y28" s="25" t="s">
        <v>114</v>
      </c>
      <c r="Z28" s="11" t="s">
        <v>55</v>
      </c>
      <c r="AA28" s="17">
        <v>1.740012285821E12</v>
      </c>
      <c r="AB28" s="11" t="s">
        <v>364</v>
      </c>
      <c r="AC28" s="18">
        <v>150000.0</v>
      </c>
      <c r="AD28" s="18"/>
      <c r="AE28" s="19"/>
      <c r="AF28" s="28">
        <v>4500000.0</v>
      </c>
      <c r="AG28" s="28">
        <v>0.0</v>
      </c>
      <c r="AH28" s="12">
        <v>2.6093680325E10</v>
      </c>
      <c r="AI28" s="22" t="s">
        <v>365</v>
      </c>
    </row>
    <row r="29">
      <c r="A29" s="11" t="s">
        <v>366</v>
      </c>
      <c r="B29" s="11" t="s">
        <v>367</v>
      </c>
      <c r="C29" s="11" t="s">
        <v>368</v>
      </c>
      <c r="D29" s="11" t="s">
        <v>38</v>
      </c>
      <c r="E29" s="12" t="s">
        <v>369</v>
      </c>
      <c r="F29" s="11" t="s">
        <v>370</v>
      </c>
      <c r="G29" s="11" t="s">
        <v>371</v>
      </c>
      <c r="H29" s="11" t="s">
        <v>372</v>
      </c>
      <c r="I29" s="11" t="s">
        <v>373</v>
      </c>
      <c r="J29" s="11" t="s">
        <v>140</v>
      </c>
      <c r="K29" s="11" t="s">
        <v>110</v>
      </c>
      <c r="L29" s="11" t="s">
        <v>374</v>
      </c>
      <c r="M29" s="11" t="s">
        <v>375</v>
      </c>
      <c r="N29" s="12">
        <v>30.0</v>
      </c>
      <c r="O29" s="12" t="s">
        <v>295</v>
      </c>
      <c r="P29" s="12" t="s">
        <v>69</v>
      </c>
      <c r="Q29" s="11" t="s">
        <v>296</v>
      </c>
      <c r="R29" s="11" t="s">
        <v>50</v>
      </c>
      <c r="S29" s="11" t="s">
        <v>51</v>
      </c>
      <c r="T29" s="11" t="s">
        <v>376</v>
      </c>
      <c r="U29" s="12" t="s">
        <v>52</v>
      </c>
      <c r="V29" s="12" t="s">
        <v>53</v>
      </c>
      <c r="W29" s="14">
        <v>45663.0</v>
      </c>
      <c r="X29" s="15" t="str">
        <f t="shared" si="3"/>
        <v>1Year8Months17Days</v>
      </c>
      <c r="Y29" s="25" t="s">
        <v>54</v>
      </c>
      <c r="Z29" s="11" t="s">
        <v>55</v>
      </c>
      <c r="AA29" s="17">
        <v>1.810003817195E12</v>
      </c>
      <c r="AB29" s="11" t="s">
        <v>377</v>
      </c>
      <c r="AC29" s="18">
        <v>150000.0</v>
      </c>
      <c r="AD29" s="18"/>
      <c r="AE29" s="19"/>
      <c r="AF29" s="28">
        <v>5525000.0</v>
      </c>
      <c r="AG29" s="28">
        <v>2975000.0</v>
      </c>
      <c r="AH29" s="12">
        <v>2.6093680291E10</v>
      </c>
      <c r="AI29" s="22" t="s">
        <v>378</v>
      </c>
    </row>
    <row r="30">
      <c r="A30" s="11" t="s">
        <v>379</v>
      </c>
      <c r="B30" s="11" t="s">
        <v>380</v>
      </c>
      <c r="C30" s="11" t="s">
        <v>381</v>
      </c>
      <c r="D30" s="11" t="s">
        <v>38</v>
      </c>
      <c r="E30" s="12" t="s">
        <v>382</v>
      </c>
      <c r="F30" s="11" t="s">
        <v>383</v>
      </c>
      <c r="G30" s="11" t="s">
        <v>384</v>
      </c>
      <c r="H30" s="11" t="s">
        <v>385</v>
      </c>
      <c r="I30" s="11" t="s">
        <v>386</v>
      </c>
      <c r="J30" s="11" t="s">
        <v>140</v>
      </c>
      <c r="K30" s="11" t="s">
        <v>83</v>
      </c>
      <c r="L30" s="11" t="s">
        <v>387</v>
      </c>
      <c r="M30" s="24"/>
      <c r="N30" s="12">
        <v>30.0</v>
      </c>
      <c r="O30" s="12" t="s">
        <v>295</v>
      </c>
      <c r="P30" s="12" t="s">
        <v>69</v>
      </c>
      <c r="Q30" s="11" t="s">
        <v>296</v>
      </c>
      <c r="R30" s="11" t="s">
        <v>50</v>
      </c>
      <c r="S30" s="11" t="s">
        <v>51</v>
      </c>
      <c r="T30" s="11" t="s">
        <v>388</v>
      </c>
      <c r="U30" s="12" t="s">
        <v>230</v>
      </c>
      <c r="V30" s="12" t="s">
        <v>113</v>
      </c>
      <c r="W30" s="14">
        <v>46143.0</v>
      </c>
      <c r="X30" s="15" t="str">
        <f t="shared" si="3"/>
        <v>0Year4Months22Days</v>
      </c>
      <c r="Y30" s="25" t="s">
        <v>54</v>
      </c>
      <c r="Z30" s="11" t="s">
        <v>55</v>
      </c>
      <c r="AA30" s="17">
        <v>1.810002329101E12</v>
      </c>
      <c r="AB30" s="11" t="s">
        <v>389</v>
      </c>
      <c r="AC30" s="18">
        <v>150000.0</v>
      </c>
      <c r="AD30" s="42"/>
      <c r="AE30" s="19"/>
      <c r="AF30" s="28">
        <v>3500000.0</v>
      </c>
      <c r="AG30" s="28">
        <v>0.0</v>
      </c>
      <c r="AH30" s="12">
        <v>2.6093680333E10</v>
      </c>
      <c r="AI30" s="22" t="s">
        <v>390</v>
      </c>
    </row>
    <row r="31">
      <c r="A31" s="34" t="s">
        <v>391</v>
      </c>
      <c r="B31" s="11" t="s">
        <v>392</v>
      </c>
      <c r="C31" s="11" t="s">
        <v>393</v>
      </c>
      <c r="D31" s="11" t="s">
        <v>38</v>
      </c>
      <c r="E31" s="12" t="s">
        <v>394</v>
      </c>
      <c r="F31" s="11" t="s">
        <v>395</v>
      </c>
      <c r="G31" s="11" t="s">
        <v>396</v>
      </c>
      <c r="H31" s="11" t="s">
        <v>397</v>
      </c>
      <c r="I31" s="11" t="s">
        <v>398</v>
      </c>
      <c r="J31" s="11" t="s">
        <v>44</v>
      </c>
      <c r="K31" s="11" t="s">
        <v>83</v>
      </c>
      <c r="L31" s="11" t="s">
        <v>399</v>
      </c>
      <c r="M31" s="11" t="s">
        <v>400</v>
      </c>
      <c r="N31" s="12">
        <v>30.0</v>
      </c>
      <c r="O31" s="12" t="s">
        <v>295</v>
      </c>
      <c r="P31" s="12" t="s">
        <v>69</v>
      </c>
      <c r="Q31" s="11" t="s">
        <v>401</v>
      </c>
      <c r="R31" s="11" t="s">
        <v>50</v>
      </c>
      <c r="S31" s="11" t="s">
        <v>51</v>
      </c>
      <c r="T31" s="11" t="s">
        <v>297</v>
      </c>
      <c r="U31" s="12" t="s">
        <v>52</v>
      </c>
      <c r="V31" s="12" t="s">
        <v>53</v>
      </c>
      <c r="W31" s="14">
        <v>42675.0</v>
      </c>
      <c r="X31" s="40" t="str">
        <f t="shared" si="3"/>
        <v>9Year10Months22Days</v>
      </c>
      <c r="Y31" s="25" t="s">
        <v>114</v>
      </c>
      <c r="Z31" s="11" t="s">
        <v>55</v>
      </c>
      <c r="AA31" s="17">
        <v>1.450014917195E12</v>
      </c>
      <c r="AB31" s="11" t="s">
        <v>402</v>
      </c>
      <c r="AC31" s="18">
        <v>200000.0</v>
      </c>
      <c r="AD31" s="18"/>
      <c r="AE31" s="19"/>
      <c r="AF31" s="28">
        <v>6000000.0</v>
      </c>
      <c r="AG31" s="28">
        <v>2000000.0</v>
      </c>
      <c r="AH31" s="12">
        <v>2.2071549947E10</v>
      </c>
      <c r="AI31" s="22" t="s">
        <v>403</v>
      </c>
    </row>
    <row r="32">
      <c r="A32" s="34" t="s">
        <v>404</v>
      </c>
      <c r="B32" s="11" t="s">
        <v>405</v>
      </c>
      <c r="C32" s="11" t="s">
        <v>406</v>
      </c>
      <c r="D32" s="11" t="s">
        <v>38</v>
      </c>
      <c r="E32" s="12" t="s">
        <v>407</v>
      </c>
      <c r="F32" s="11" t="s">
        <v>408</v>
      </c>
      <c r="G32" s="11" t="s">
        <v>409</v>
      </c>
      <c r="H32" s="11" t="s">
        <v>410</v>
      </c>
      <c r="I32" s="11" t="s">
        <v>411</v>
      </c>
      <c r="J32" s="11" t="s">
        <v>44</v>
      </c>
      <c r="K32" s="11" t="s">
        <v>83</v>
      </c>
      <c r="L32" s="11" t="s">
        <v>412</v>
      </c>
      <c r="M32" s="11" t="s">
        <v>413</v>
      </c>
      <c r="N32" s="12">
        <v>30.0</v>
      </c>
      <c r="O32" s="12" t="s">
        <v>295</v>
      </c>
      <c r="P32" s="12" t="s">
        <v>69</v>
      </c>
      <c r="Q32" s="11" t="s">
        <v>401</v>
      </c>
      <c r="R32" s="11" t="s">
        <v>50</v>
      </c>
      <c r="S32" s="11" t="s">
        <v>51</v>
      </c>
      <c r="T32" s="11" t="s">
        <v>363</v>
      </c>
      <c r="U32" s="12" t="s">
        <v>52</v>
      </c>
      <c r="V32" s="12" t="s">
        <v>53</v>
      </c>
      <c r="W32" s="14">
        <v>43466.0</v>
      </c>
      <c r="X32" s="40" t="str">
        <f t="shared" si="3"/>
        <v>7Year8Months22Days</v>
      </c>
      <c r="Y32" s="25" t="s">
        <v>114</v>
      </c>
      <c r="Z32" s="11" t="s">
        <v>55</v>
      </c>
      <c r="AA32" s="17">
        <v>1.450014917187E12</v>
      </c>
      <c r="AB32" s="11" t="s">
        <v>414</v>
      </c>
      <c r="AC32" s="18">
        <v>150000.0</v>
      </c>
      <c r="AD32" s="18"/>
      <c r="AE32" s="19"/>
      <c r="AF32" s="28">
        <v>3937500.0</v>
      </c>
      <c r="AG32" s="28">
        <v>1312500.0</v>
      </c>
      <c r="AH32" s="12">
        <v>2.207155001E10</v>
      </c>
      <c r="AI32" s="22" t="s">
        <v>415</v>
      </c>
    </row>
    <row r="33">
      <c r="A33" s="34" t="s">
        <v>416</v>
      </c>
      <c r="B33" s="43" t="s">
        <v>417</v>
      </c>
      <c r="C33" s="11" t="s">
        <v>417</v>
      </c>
      <c r="D33" s="11" t="s">
        <v>38</v>
      </c>
      <c r="E33" s="12" t="s">
        <v>418</v>
      </c>
      <c r="F33" s="11" t="s">
        <v>419</v>
      </c>
      <c r="G33" s="11" t="s">
        <v>420</v>
      </c>
      <c r="H33" s="11" t="s">
        <v>421</v>
      </c>
      <c r="I33" s="11" t="s">
        <v>422</v>
      </c>
      <c r="J33" s="11" t="s">
        <v>44</v>
      </c>
      <c r="K33" s="11" t="s">
        <v>110</v>
      </c>
      <c r="L33" s="11" t="s">
        <v>423</v>
      </c>
      <c r="M33" s="11" t="s">
        <v>424</v>
      </c>
      <c r="N33" s="12">
        <v>30.0</v>
      </c>
      <c r="O33" s="12" t="s">
        <v>295</v>
      </c>
      <c r="P33" s="12" t="s">
        <v>69</v>
      </c>
      <c r="Q33" s="11" t="s">
        <v>401</v>
      </c>
      <c r="R33" s="11" t="s">
        <v>50</v>
      </c>
      <c r="S33" s="11" t="s">
        <v>51</v>
      </c>
      <c r="T33" s="11" t="s">
        <v>337</v>
      </c>
      <c r="U33" s="12" t="s">
        <v>52</v>
      </c>
      <c r="V33" s="12" t="s">
        <v>53</v>
      </c>
      <c r="W33" s="14">
        <v>42005.0</v>
      </c>
      <c r="X33" s="40" t="str">
        <f t="shared" si="3"/>
        <v>11Year8Months22Days</v>
      </c>
      <c r="Y33" s="25" t="s">
        <v>72</v>
      </c>
      <c r="Z33" s="11" t="s">
        <v>55</v>
      </c>
      <c r="AA33" s="17">
        <v>1.450014914804E12</v>
      </c>
      <c r="AB33" s="11" t="s">
        <v>425</v>
      </c>
      <c r="AC33" s="18">
        <v>150000.0</v>
      </c>
      <c r="AD33" s="18"/>
      <c r="AE33" s="19"/>
      <c r="AF33" s="28">
        <v>5000000.0</v>
      </c>
      <c r="AG33" s="28">
        <v>0.0</v>
      </c>
      <c r="AH33" s="12">
        <v>2.2071549939E10</v>
      </c>
      <c r="AI33" s="22" t="s">
        <v>426</v>
      </c>
    </row>
    <row r="34">
      <c r="A34" s="34" t="s">
        <v>427</v>
      </c>
      <c r="B34" s="11" t="s">
        <v>428</v>
      </c>
      <c r="C34" s="11" t="s">
        <v>429</v>
      </c>
      <c r="D34" s="11" t="s">
        <v>38</v>
      </c>
      <c r="E34" s="12" t="s">
        <v>430</v>
      </c>
      <c r="F34" s="11" t="s">
        <v>431</v>
      </c>
      <c r="G34" s="11" t="s">
        <v>432</v>
      </c>
      <c r="H34" s="11" t="s">
        <v>433</v>
      </c>
      <c r="I34" s="11" t="s">
        <v>434</v>
      </c>
      <c r="J34" s="11" t="s">
        <v>44</v>
      </c>
      <c r="K34" s="11" t="s">
        <v>110</v>
      </c>
      <c r="L34" s="11" t="s">
        <v>435</v>
      </c>
      <c r="M34" s="11" t="s">
        <v>436</v>
      </c>
      <c r="N34" s="12">
        <v>30.0</v>
      </c>
      <c r="O34" s="12" t="s">
        <v>295</v>
      </c>
      <c r="P34" s="12" t="s">
        <v>69</v>
      </c>
      <c r="Q34" s="11" t="s">
        <v>401</v>
      </c>
      <c r="R34" s="11" t="s">
        <v>50</v>
      </c>
      <c r="S34" s="11" t="s">
        <v>51</v>
      </c>
      <c r="T34" s="11" t="s">
        <v>437</v>
      </c>
      <c r="U34" s="12" t="s">
        <v>52</v>
      </c>
      <c r="V34" s="12" t="s">
        <v>53</v>
      </c>
      <c r="W34" s="14">
        <v>42736.0</v>
      </c>
      <c r="X34" s="40" t="str">
        <f t="shared" si="3"/>
        <v>9Year8Months22Days</v>
      </c>
      <c r="Y34" s="25" t="s">
        <v>114</v>
      </c>
      <c r="Z34" s="11" t="s">
        <v>55</v>
      </c>
      <c r="AA34" s="17">
        <v>1.450014917138E12</v>
      </c>
      <c r="AB34" s="11" t="s">
        <v>438</v>
      </c>
      <c r="AC34" s="18">
        <v>150000.0</v>
      </c>
      <c r="AD34" s="18"/>
      <c r="AE34" s="19"/>
      <c r="AF34" s="28">
        <v>5000000.0</v>
      </c>
      <c r="AG34" s="28">
        <v>0.0</v>
      </c>
      <c r="AH34" s="12">
        <v>2.2071549962E10</v>
      </c>
      <c r="AI34" s="22" t="s">
        <v>439</v>
      </c>
    </row>
    <row r="35">
      <c r="A35" s="34" t="s">
        <v>440</v>
      </c>
      <c r="B35" s="11" t="s">
        <v>441</v>
      </c>
      <c r="C35" s="11" t="s">
        <v>442</v>
      </c>
      <c r="D35" s="11" t="s">
        <v>38</v>
      </c>
      <c r="E35" s="12" t="s">
        <v>443</v>
      </c>
      <c r="F35" s="11" t="s">
        <v>444</v>
      </c>
      <c r="G35" s="11" t="s">
        <v>445</v>
      </c>
      <c r="H35" s="11" t="s">
        <v>446</v>
      </c>
      <c r="I35" s="11" t="s">
        <v>447</v>
      </c>
      <c r="J35" s="11" t="s">
        <v>44</v>
      </c>
      <c r="K35" s="11" t="s">
        <v>83</v>
      </c>
      <c r="L35" s="11" t="s">
        <v>448</v>
      </c>
      <c r="M35" s="11" t="s">
        <v>449</v>
      </c>
      <c r="N35" s="12">
        <v>30.0</v>
      </c>
      <c r="O35" s="12" t="s">
        <v>295</v>
      </c>
      <c r="P35" s="12" t="s">
        <v>69</v>
      </c>
      <c r="Q35" s="11" t="s">
        <v>401</v>
      </c>
      <c r="R35" s="11" t="s">
        <v>50</v>
      </c>
      <c r="S35" s="11" t="s">
        <v>51</v>
      </c>
      <c r="T35" s="11" t="s">
        <v>388</v>
      </c>
      <c r="U35" s="12" t="s">
        <v>52</v>
      </c>
      <c r="V35" s="12" t="s">
        <v>53</v>
      </c>
      <c r="W35" s="14">
        <v>43101.0</v>
      </c>
      <c r="X35" s="40" t="str">
        <f t="shared" si="3"/>
        <v>8Year8Months22Days</v>
      </c>
      <c r="Y35" s="25" t="s">
        <v>114</v>
      </c>
      <c r="Z35" s="11" t="s">
        <v>55</v>
      </c>
      <c r="AA35" s="17">
        <v>1.450014914812E12</v>
      </c>
      <c r="AB35" s="11" t="s">
        <v>450</v>
      </c>
      <c r="AC35" s="18">
        <v>150000.0</v>
      </c>
      <c r="AD35" s="18"/>
      <c r="AE35" s="19"/>
      <c r="AF35" s="28">
        <v>4500000.0</v>
      </c>
      <c r="AG35" s="28">
        <v>0.0</v>
      </c>
      <c r="AH35" s="12">
        <v>2.2071550028E10</v>
      </c>
      <c r="AI35" s="22" t="s">
        <v>451</v>
      </c>
    </row>
    <row r="36">
      <c r="A36" s="34" t="s">
        <v>452</v>
      </c>
      <c r="B36" s="11" t="s">
        <v>453</v>
      </c>
      <c r="C36" s="11" t="s">
        <v>454</v>
      </c>
      <c r="D36" s="11" t="s">
        <v>38</v>
      </c>
      <c r="E36" s="12" t="s">
        <v>455</v>
      </c>
      <c r="F36" s="11" t="s">
        <v>456</v>
      </c>
      <c r="G36" s="11" t="s">
        <v>457</v>
      </c>
      <c r="H36" s="11" t="s">
        <v>458</v>
      </c>
      <c r="I36" s="11" t="s">
        <v>459</v>
      </c>
      <c r="J36" s="11" t="s">
        <v>140</v>
      </c>
      <c r="K36" s="11" t="s">
        <v>83</v>
      </c>
      <c r="L36" s="11" t="s">
        <v>460</v>
      </c>
      <c r="M36" s="11" t="s">
        <v>461</v>
      </c>
      <c r="N36" s="12">
        <v>30.0</v>
      </c>
      <c r="O36" s="12" t="s">
        <v>295</v>
      </c>
      <c r="P36" s="12" t="s">
        <v>69</v>
      </c>
      <c r="Q36" s="11" t="s">
        <v>401</v>
      </c>
      <c r="R36" s="11" t="s">
        <v>50</v>
      </c>
      <c r="S36" s="11" t="s">
        <v>51</v>
      </c>
      <c r="T36" s="11" t="s">
        <v>310</v>
      </c>
      <c r="U36" s="12" t="s">
        <v>52</v>
      </c>
      <c r="V36" s="12" t="s">
        <v>53</v>
      </c>
      <c r="W36" s="14">
        <v>43191.0</v>
      </c>
      <c r="X36" s="40" t="str">
        <f t="shared" si="3"/>
        <v>8Year5Months22Days</v>
      </c>
      <c r="Y36" s="25" t="s">
        <v>54</v>
      </c>
      <c r="Z36" s="11" t="s">
        <v>55</v>
      </c>
      <c r="AA36" s="17">
        <v>1.45001491482E12</v>
      </c>
      <c r="AB36" s="11" t="s">
        <v>462</v>
      </c>
      <c r="AC36" s="18">
        <v>150000.0</v>
      </c>
      <c r="AD36" s="18"/>
      <c r="AE36" s="19"/>
      <c r="AF36" s="28">
        <v>5000000.0</v>
      </c>
      <c r="AG36" s="28">
        <v>0.0</v>
      </c>
      <c r="AH36" s="12">
        <v>2.2071549913E10</v>
      </c>
      <c r="AI36" s="22" t="s">
        <v>463</v>
      </c>
    </row>
    <row r="37">
      <c r="A37" s="11" t="s">
        <v>464</v>
      </c>
      <c r="B37" s="11" t="s">
        <v>465</v>
      </c>
      <c r="C37" s="11" t="s">
        <v>466</v>
      </c>
      <c r="D37" s="11" t="s">
        <v>467</v>
      </c>
      <c r="E37" s="12" t="s">
        <v>468</v>
      </c>
      <c r="F37" s="24"/>
      <c r="G37" s="24"/>
      <c r="H37" s="11" t="s">
        <v>469</v>
      </c>
      <c r="I37" s="11" t="s">
        <v>470</v>
      </c>
      <c r="J37" s="11" t="s">
        <v>140</v>
      </c>
      <c r="K37" s="24"/>
      <c r="L37" s="11" t="s">
        <v>471</v>
      </c>
      <c r="M37" s="11" t="s">
        <v>472</v>
      </c>
      <c r="N37" s="12">
        <v>20.0</v>
      </c>
      <c r="O37" s="12" t="s">
        <v>473</v>
      </c>
      <c r="P37" s="12" t="s">
        <v>69</v>
      </c>
      <c r="Q37" s="11" t="s">
        <v>474</v>
      </c>
      <c r="R37" s="11" t="s">
        <v>50</v>
      </c>
      <c r="S37" s="11" t="s">
        <v>51</v>
      </c>
      <c r="T37" s="11" t="s">
        <v>475</v>
      </c>
      <c r="U37" s="44" t="s">
        <v>52</v>
      </c>
      <c r="V37" s="44" t="s">
        <v>53</v>
      </c>
      <c r="W37" s="14">
        <v>45444.0</v>
      </c>
      <c r="X37" s="15" t="str">
        <f t="shared" si="3"/>
        <v>2Year3Months22Days</v>
      </c>
      <c r="Y37" s="45" t="s">
        <v>54</v>
      </c>
      <c r="Z37" s="11" t="s">
        <v>55</v>
      </c>
      <c r="AA37" s="17">
        <v>1.810000583147E12</v>
      </c>
      <c r="AB37" s="11" t="s">
        <v>476</v>
      </c>
      <c r="AC37" s="46">
        <v>150000.0</v>
      </c>
      <c r="AD37" s="18"/>
      <c r="AE37" s="47" t="s">
        <v>184</v>
      </c>
      <c r="AF37" s="28">
        <v>1.0E7</v>
      </c>
      <c r="AG37" s="28">
        <v>3.0E7</v>
      </c>
      <c r="AH37" s="48" t="s">
        <v>477</v>
      </c>
      <c r="AI37" s="49"/>
    </row>
    <row r="38">
      <c r="A38" s="11" t="s">
        <v>478</v>
      </c>
      <c r="B38" s="43" t="s">
        <v>479</v>
      </c>
      <c r="C38" s="11" t="s">
        <v>480</v>
      </c>
      <c r="D38" s="11" t="s">
        <v>38</v>
      </c>
      <c r="E38" s="12" t="s">
        <v>481</v>
      </c>
      <c r="F38" s="11" t="s">
        <v>482</v>
      </c>
      <c r="G38" s="11" t="s">
        <v>483</v>
      </c>
      <c r="H38" s="11" t="s">
        <v>484</v>
      </c>
      <c r="I38" s="11" t="s">
        <v>485</v>
      </c>
      <c r="J38" s="34" t="s">
        <v>44</v>
      </c>
      <c r="K38" s="11" t="s">
        <v>110</v>
      </c>
      <c r="L38" s="11" t="s">
        <v>486</v>
      </c>
      <c r="M38" s="11" t="s">
        <v>487</v>
      </c>
      <c r="N38" s="12">
        <v>20.0</v>
      </c>
      <c r="O38" s="12" t="s">
        <v>473</v>
      </c>
      <c r="P38" s="12" t="s">
        <v>69</v>
      </c>
      <c r="Q38" s="11" t="s">
        <v>474</v>
      </c>
      <c r="R38" s="11" t="s">
        <v>86</v>
      </c>
      <c r="S38" s="11" t="s">
        <v>51</v>
      </c>
      <c r="T38" s="11" t="s">
        <v>488</v>
      </c>
      <c r="U38" s="12" t="s">
        <v>52</v>
      </c>
      <c r="V38" s="12" t="s">
        <v>53</v>
      </c>
      <c r="W38" s="14">
        <v>44986.0</v>
      </c>
      <c r="X38" s="15" t="str">
        <f t="shared" si="3"/>
        <v>3Year6Months22Days</v>
      </c>
      <c r="Y38" s="50" t="s">
        <v>72</v>
      </c>
      <c r="Z38" s="11" t="s">
        <v>55</v>
      </c>
      <c r="AA38" s="17">
        <v>1.810000362187E12</v>
      </c>
      <c r="AB38" s="11" t="s">
        <v>489</v>
      </c>
      <c r="AC38" s="18">
        <v>150000.0</v>
      </c>
      <c r="AD38" s="18"/>
      <c r="AE38" s="19"/>
      <c r="AF38" s="28">
        <f>15000000*65%</f>
        <v>9750000</v>
      </c>
      <c r="AG38" s="28">
        <f>15000000-AF38</f>
        <v>5250000</v>
      </c>
      <c r="AH38" s="12">
        <v>2.301024195E10</v>
      </c>
      <c r="AI38" s="22" t="s">
        <v>490</v>
      </c>
    </row>
    <row r="39">
      <c r="A39" s="11" t="s">
        <v>491</v>
      </c>
      <c r="B39" s="11" t="s">
        <v>492</v>
      </c>
      <c r="C39" s="11" t="s">
        <v>493</v>
      </c>
      <c r="D39" s="11" t="s">
        <v>38</v>
      </c>
      <c r="E39" s="12" t="s">
        <v>494</v>
      </c>
      <c r="F39" s="11" t="s">
        <v>495</v>
      </c>
      <c r="G39" s="11" t="s">
        <v>496</v>
      </c>
      <c r="H39" s="11" t="s">
        <v>497</v>
      </c>
      <c r="I39" s="11" t="s">
        <v>498</v>
      </c>
      <c r="J39" s="34" t="s">
        <v>44</v>
      </c>
      <c r="K39" s="11" t="s">
        <v>83</v>
      </c>
      <c r="L39" s="11" t="s">
        <v>499</v>
      </c>
      <c r="M39" s="11" t="s">
        <v>500</v>
      </c>
      <c r="N39" s="12">
        <v>20.0</v>
      </c>
      <c r="O39" s="12" t="s">
        <v>473</v>
      </c>
      <c r="P39" s="12" t="s">
        <v>69</v>
      </c>
      <c r="Q39" s="11" t="s">
        <v>474</v>
      </c>
      <c r="R39" s="11" t="s">
        <v>86</v>
      </c>
      <c r="S39" s="11" t="s">
        <v>51</v>
      </c>
      <c r="T39" s="11" t="s">
        <v>501</v>
      </c>
      <c r="U39" s="12" t="s">
        <v>52</v>
      </c>
      <c r="V39" s="12" t="s">
        <v>53</v>
      </c>
      <c r="W39" s="51">
        <v>44986.0</v>
      </c>
      <c r="X39" s="52" t="str">
        <f t="shared" si="3"/>
        <v>3Year6Months22Days</v>
      </c>
      <c r="Y39" s="25" t="s">
        <v>114</v>
      </c>
      <c r="Z39" s="11" t="s">
        <v>55</v>
      </c>
      <c r="AA39" s="17">
        <v>1.450014914796E12</v>
      </c>
      <c r="AB39" s="11" t="s">
        <v>502</v>
      </c>
      <c r="AC39" s="18">
        <v>150000.0</v>
      </c>
      <c r="AD39" s="18"/>
      <c r="AE39" s="19"/>
      <c r="AF39" s="28">
        <v>4125000.0</v>
      </c>
      <c r="AG39" s="28">
        <v>1375000.0</v>
      </c>
      <c r="AH39" s="12">
        <v>2.2071550002E10</v>
      </c>
      <c r="AI39" s="22" t="s">
        <v>503</v>
      </c>
    </row>
    <row r="40">
      <c r="A40" s="11" t="s">
        <v>504</v>
      </c>
      <c r="B40" s="11" t="s">
        <v>505</v>
      </c>
      <c r="C40" s="11" t="s">
        <v>506</v>
      </c>
      <c r="D40" s="11" t="s">
        <v>38</v>
      </c>
      <c r="E40" s="12" t="s">
        <v>507</v>
      </c>
      <c r="F40" s="11" t="s">
        <v>508</v>
      </c>
      <c r="G40" s="11" t="s">
        <v>509</v>
      </c>
      <c r="H40" s="11" t="s">
        <v>510</v>
      </c>
      <c r="I40" s="11" t="s">
        <v>511</v>
      </c>
      <c r="J40" s="34" t="s">
        <v>140</v>
      </c>
      <c r="K40" s="11" t="s">
        <v>83</v>
      </c>
      <c r="L40" s="11" t="s">
        <v>512</v>
      </c>
      <c r="M40" s="11" t="s">
        <v>513</v>
      </c>
      <c r="N40" s="12">
        <v>20.0</v>
      </c>
      <c r="O40" s="12" t="s">
        <v>473</v>
      </c>
      <c r="P40" s="12" t="s">
        <v>69</v>
      </c>
      <c r="Q40" s="11" t="s">
        <v>474</v>
      </c>
      <c r="R40" s="11" t="s">
        <v>86</v>
      </c>
      <c r="S40" s="11" t="s">
        <v>51</v>
      </c>
      <c r="T40" s="11" t="s">
        <v>323</v>
      </c>
      <c r="U40" s="12" t="s">
        <v>52</v>
      </c>
      <c r="V40" s="12" t="s">
        <v>53</v>
      </c>
      <c r="W40" s="14">
        <v>45352.0</v>
      </c>
      <c r="X40" s="53" t="str">
        <f t="shared" si="3"/>
        <v>2Year6Months22Days</v>
      </c>
      <c r="Y40" s="25" t="s">
        <v>54</v>
      </c>
      <c r="Z40" s="11" t="s">
        <v>55</v>
      </c>
      <c r="AA40" s="17">
        <v>1.450015772276E12</v>
      </c>
      <c r="AB40" s="11" t="s">
        <v>514</v>
      </c>
      <c r="AC40" s="18">
        <v>150000.0</v>
      </c>
      <c r="AD40" s="18"/>
      <c r="AE40" s="19"/>
      <c r="AF40" s="28">
        <v>5000000.0</v>
      </c>
      <c r="AG40" s="28">
        <v>0.0</v>
      </c>
      <c r="AH40" s="12">
        <v>2.3010241968E10</v>
      </c>
      <c r="AI40" s="22" t="s">
        <v>515</v>
      </c>
    </row>
    <row r="41">
      <c r="A41" s="11" t="s">
        <v>516</v>
      </c>
      <c r="B41" s="11" t="s">
        <v>517</v>
      </c>
      <c r="C41" s="11" t="s">
        <v>518</v>
      </c>
      <c r="D41" s="11" t="s">
        <v>38</v>
      </c>
      <c r="E41" s="12" t="s">
        <v>519</v>
      </c>
      <c r="F41" s="11" t="s">
        <v>520</v>
      </c>
      <c r="G41" s="11" t="s">
        <v>521</v>
      </c>
      <c r="H41" s="11" t="s">
        <v>522</v>
      </c>
      <c r="I41" s="11" t="s">
        <v>523</v>
      </c>
      <c r="J41" s="34" t="s">
        <v>140</v>
      </c>
      <c r="K41" s="11" t="s">
        <v>110</v>
      </c>
      <c r="L41" s="11" t="s">
        <v>524</v>
      </c>
      <c r="M41" s="11" t="s">
        <v>525</v>
      </c>
      <c r="N41" s="12">
        <v>20.0</v>
      </c>
      <c r="O41" s="12" t="s">
        <v>473</v>
      </c>
      <c r="P41" s="12" t="s">
        <v>69</v>
      </c>
      <c r="Q41" s="11" t="s">
        <v>474</v>
      </c>
      <c r="R41" s="11" t="s">
        <v>86</v>
      </c>
      <c r="S41" s="11" t="s">
        <v>51</v>
      </c>
      <c r="T41" s="11" t="s">
        <v>526</v>
      </c>
      <c r="U41" s="12" t="s">
        <v>52</v>
      </c>
      <c r="V41" s="12" t="s">
        <v>53</v>
      </c>
      <c r="W41" s="14">
        <v>45372.0</v>
      </c>
      <c r="X41" s="15" t="str">
        <f t="shared" si="3"/>
        <v>2Year6Months2Days</v>
      </c>
      <c r="Y41" s="25" t="s">
        <v>54</v>
      </c>
      <c r="Z41" s="11" t="s">
        <v>55</v>
      </c>
      <c r="AA41" s="17">
        <v>1.610013525998E12</v>
      </c>
      <c r="AB41" s="11" t="s">
        <v>527</v>
      </c>
      <c r="AC41" s="18">
        <v>150000.0</v>
      </c>
      <c r="AD41" s="18"/>
      <c r="AE41" s="54" t="s">
        <v>528</v>
      </c>
      <c r="AF41" s="28">
        <v>6175000.0</v>
      </c>
      <c r="AG41" s="28">
        <v>3325000.0</v>
      </c>
      <c r="AH41" s="12">
        <v>2.4092097641E10</v>
      </c>
      <c r="AI41" s="22" t="s">
        <v>529</v>
      </c>
    </row>
    <row r="42">
      <c r="A42" s="11" t="s">
        <v>530</v>
      </c>
      <c r="B42" s="11" t="s">
        <v>531</v>
      </c>
      <c r="C42" s="11" t="s">
        <v>532</v>
      </c>
      <c r="D42" s="11" t="s">
        <v>38</v>
      </c>
      <c r="E42" s="12" t="s">
        <v>533</v>
      </c>
      <c r="F42" s="11" t="s">
        <v>534</v>
      </c>
      <c r="G42" s="11" t="s">
        <v>535</v>
      </c>
      <c r="H42" s="11" t="s">
        <v>536</v>
      </c>
      <c r="I42" s="11" t="s">
        <v>537</v>
      </c>
      <c r="J42" s="34" t="s">
        <v>44</v>
      </c>
      <c r="K42" s="11" t="s">
        <v>110</v>
      </c>
      <c r="L42" s="11" t="s">
        <v>538</v>
      </c>
      <c r="M42" s="11" t="s">
        <v>539</v>
      </c>
      <c r="N42" s="12">
        <v>20.0</v>
      </c>
      <c r="O42" s="12" t="s">
        <v>473</v>
      </c>
      <c r="P42" s="12" t="s">
        <v>69</v>
      </c>
      <c r="Q42" s="11" t="s">
        <v>474</v>
      </c>
      <c r="R42" s="11" t="s">
        <v>86</v>
      </c>
      <c r="S42" s="11" t="s">
        <v>51</v>
      </c>
      <c r="T42" s="11" t="s">
        <v>363</v>
      </c>
      <c r="U42" s="12" t="s">
        <v>52</v>
      </c>
      <c r="V42" s="12" t="s">
        <v>53</v>
      </c>
      <c r="W42" s="14">
        <v>45372.0</v>
      </c>
      <c r="X42" s="15" t="str">
        <f t="shared" si="3"/>
        <v>2Year6Months2Days</v>
      </c>
      <c r="Y42" s="25" t="s">
        <v>114</v>
      </c>
      <c r="Z42" s="11" t="s">
        <v>55</v>
      </c>
      <c r="AA42" s="17">
        <v>1.810000472895E12</v>
      </c>
      <c r="AB42" s="11" t="s">
        <v>540</v>
      </c>
      <c r="AC42" s="18">
        <v>150000.0</v>
      </c>
      <c r="AD42" s="18"/>
      <c r="AE42" s="19"/>
      <c r="AF42" s="28">
        <v>5625000.0</v>
      </c>
      <c r="AG42" s="28">
        <v>1875000.0</v>
      </c>
      <c r="AH42" s="12">
        <v>2.4053920633E10</v>
      </c>
      <c r="AI42" s="22" t="s">
        <v>541</v>
      </c>
    </row>
    <row r="43">
      <c r="A43" s="11" t="s">
        <v>542</v>
      </c>
      <c r="B43" s="11" t="s">
        <v>543</v>
      </c>
      <c r="C43" s="11" t="s">
        <v>544</v>
      </c>
      <c r="D43" s="11" t="s">
        <v>38</v>
      </c>
      <c r="E43" s="12" t="s">
        <v>545</v>
      </c>
      <c r="F43" s="11" t="s">
        <v>546</v>
      </c>
      <c r="G43" s="24"/>
      <c r="H43" s="11" t="s">
        <v>547</v>
      </c>
      <c r="I43" s="11" t="s">
        <v>548</v>
      </c>
      <c r="J43" s="34" t="s">
        <v>140</v>
      </c>
      <c r="K43" s="11" t="s">
        <v>83</v>
      </c>
      <c r="L43" s="11" t="s">
        <v>549</v>
      </c>
      <c r="M43" s="11" t="s">
        <v>550</v>
      </c>
      <c r="N43" s="12">
        <v>20.0</v>
      </c>
      <c r="O43" s="12" t="s">
        <v>473</v>
      </c>
      <c r="P43" s="12" t="s">
        <v>69</v>
      </c>
      <c r="Q43" s="11" t="s">
        <v>474</v>
      </c>
      <c r="R43" s="11" t="s">
        <v>86</v>
      </c>
      <c r="S43" s="11" t="s">
        <v>51</v>
      </c>
      <c r="T43" s="11" t="s">
        <v>388</v>
      </c>
      <c r="U43" s="12" t="s">
        <v>52</v>
      </c>
      <c r="V43" s="12" t="s">
        <v>53</v>
      </c>
      <c r="W43" s="14">
        <v>45448.0</v>
      </c>
      <c r="X43" s="15" t="str">
        <f t="shared" si="3"/>
        <v>2Year3Months18Days</v>
      </c>
      <c r="Y43" s="25" t="s">
        <v>54</v>
      </c>
      <c r="Z43" s="11" t="s">
        <v>55</v>
      </c>
      <c r="AA43" s="17">
        <v>1.810001090068E12</v>
      </c>
      <c r="AB43" s="11" t="s">
        <v>551</v>
      </c>
      <c r="AC43" s="18">
        <v>150000.0</v>
      </c>
      <c r="AD43" s="18"/>
      <c r="AE43" s="19"/>
      <c r="AF43" s="28">
        <v>4500000.0</v>
      </c>
      <c r="AG43" s="28">
        <v>1500000.0</v>
      </c>
      <c r="AH43" s="12">
        <v>2.4092097658E10</v>
      </c>
      <c r="AI43" s="22" t="s">
        <v>552</v>
      </c>
    </row>
    <row r="44">
      <c r="A44" s="11" t="s">
        <v>553</v>
      </c>
      <c r="B44" s="11" t="s">
        <v>554</v>
      </c>
      <c r="C44" s="11" t="s">
        <v>555</v>
      </c>
      <c r="D44" s="11" t="s">
        <v>38</v>
      </c>
      <c r="E44" s="12" t="s">
        <v>556</v>
      </c>
      <c r="F44" s="11" t="s">
        <v>557</v>
      </c>
      <c r="G44" s="11" t="s">
        <v>558</v>
      </c>
      <c r="H44" s="11" t="s">
        <v>559</v>
      </c>
      <c r="I44" s="11" t="s">
        <v>560</v>
      </c>
      <c r="J44" s="34" t="s">
        <v>44</v>
      </c>
      <c r="K44" s="11" t="s">
        <v>45</v>
      </c>
      <c r="L44" s="23" t="s">
        <v>561</v>
      </c>
      <c r="M44" s="11" t="s">
        <v>562</v>
      </c>
      <c r="N44" s="12" t="s">
        <v>563</v>
      </c>
      <c r="O44" s="12" t="s">
        <v>473</v>
      </c>
      <c r="P44" s="12" t="s">
        <v>69</v>
      </c>
      <c r="Q44" s="11" t="s">
        <v>474</v>
      </c>
      <c r="R44" s="11" t="s">
        <v>86</v>
      </c>
      <c r="S44" s="11" t="s">
        <v>51</v>
      </c>
      <c r="T44" s="11" t="s">
        <v>564</v>
      </c>
      <c r="U44" s="12" t="s">
        <v>565</v>
      </c>
      <c r="V44" s="12" t="s">
        <v>113</v>
      </c>
      <c r="W44" s="14">
        <v>46160.0</v>
      </c>
      <c r="X44" s="15" t="str">
        <f t="shared" si="3"/>
        <v>0Year4Months5Days</v>
      </c>
      <c r="Y44" s="25" t="s">
        <v>324</v>
      </c>
      <c r="Z44" s="12" t="s">
        <v>115</v>
      </c>
      <c r="AA44" s="48" t="s">
        <v>566</v>
      </c>
      <c r="AB44" s="55" t="s">
        <v>567</v>
      </c>
      <c r="AC44" s="56">
        <v>200000.0</v>
      </c>
      <c r="AD44" s="18"/>
      <c r="AE44" s="19"/>
      <c r="AF44" s="28">
        <v>3500000.0</v>
      </c>
      <c r="AG44" s="28">
        <v>0.0</v>
      </c>
      <c r="AH44" s="12">
        <v>2.6092865109E10</v>
      </c>
      <c r="AI44" s="22" t="s">
        <v>568</v>
      </c>
    </row>
    <row r="45">
      <c r="A45" s="11" t="s">
        <v>569</v>
      </c>
      <c r="B45" s="11" t="s">
        <v>570</v>
      </c>
      <c r="C45" s="11" t="s">
        <v>571</v>
      </c>
      <c r="D45" s="11" t="s">
        <v>38</v>
      </c>
      <c r="E45" s="12" t="s">
        <v>572</v>
      </c>
      <c r="F45" s="11" t="s">
        <v>573</v>
      </c>
      <c r="G45" s="11" t="s">
        <v>574</v>
      </c>
      <c r="H45" s="11" t="s">
        <v>178</v>
      </c>
      <c r="I45" s="11" t="s">
        <v>575</v>
      </c>
      <c r="J45" s="34" t="s">
        <v>44</v>
      </c>
      <c r="K45" s="11" t="s">
        <v>83</v>
      </c>
      <c r="L45" s="24"/>
      <c r="M45" s="24"/>
      <c r="N45" s="12" t="s">
        <v>563</v>
      </c>
      <c r="O45" s="12" t="s">
        <v>473</v>
      </c>
      <c r="P45" s="12" t="s">
        <v>69</v>
      </c>
      <c r="Q45" s="11" t="s">
        <v>474</v>
      </c>
      <c r="R45" s="11" t="s">
        <v>86</v>
      </c>
      <c r="S45" s="11" t="s">
        <v>51</v>
      </c>
      <c r="T45" s="11" t="s">
        <v>576</v>
      </c>
      <c r="U45" s="12" t="s">
        <v>52</v>
      </c>
      <c r="V45" s="12" t="s">
        <v>53</v>
      </c>
      <c r="W45" s="14">
        <v>46082.0</v>
      </c>
      <c r="X45" s="15" t="str">
        <f t="shared" si="3"/>
        <v>0Year6Months22Days</v>
      </c>
      <c r="Y45" s="25" t="s">
        <v>54</v>
      </c>
      <c r="Z45" s="12" t="s">
        <v>55</v>
      </c>
      <c r="AA45" s="12" t="s">
        <v>577</v>
      </c>
      <c r="AB45" s="11" t="s">
        <v>578</v>
      </c>
      <c r="AC45" s="18">
        <v>150000.0</v>
      </c>
      <c r="AD45" s="18"/>
      <c r="AE45" s="19"/>
      <c r="AF45" s="28">
        <v>9750000.0</v>
      </c>
      <c r="AG45" s="28">
        <v>5250000.0</v>
      </c>
      <c r="AH45" s="12">
        <v>2.609286492E10</v>
      </c>
      <c r="AI45" s="22" t="s">
        <v>579</v>
      </c>
    </row>
    <row r="46">
      <c r="A46" s="11" t="s">
        <v>580</v>
      </c>
      <c r="B46" s="11" t="s">
        <v>581</v>
      </c>
      <c r="C46" s="11" t="s">
        <v>582</v>
      </c>
      <c r="D46" s="11" t="s">
        <v>38</v>
      </c>
      <c r="E46" s="12" t="s">
        <v>583</v>
      </c>
      <c r="F46" s="11" t="s">
        <v>584</v>
      </c>
      <c r="G46" s="11" t="s">
        <v>585</v>
      </c>
      <c r="H46" s="11" t="s">
        <v>586</v>
      </c>
      <c r="I46" s="11" t="s">
        <v>587</v>
      </c>
      <c r="J46" s="34" t="s">
        <v>44</v>
      </c>
      <c r="K46" s="11" t="s">
        <v>83</v>
      </c>
      <c r="L46" s="24"/>
      <c r="M46" s="24"/>
      <c r="N46" s="12" t="s">
        <v>563</v>
      </c>
      <c r="O46" s="12" t="s">
        <v>473</v>
      </c>
      <c r="P46" s="12" t="s">
        <v>69</v>
      </c>
      <c r="Q46" s="11" t="s">
        <v>474</v>
      </c>
      <c r="R46" s="11" t="s">
        <v>86</v>
      </c>
      <c r="S46" s="11" t="s">
        <v>51</v>
      </c>
      <c r="T46" s="11" t="s">
        <v>350</v>
      </c>
      <c r="U46" s="12" t="s">
        <v>565</v>
      </c>
      <c r="V46" s="12" t="s">
        <v>113</v>
      </c>
      <c r="W46" s="14">
        <v>46082.0</v>
      </c>
      <c r="X46" s="15" t="str">
        <f t="shared" si="3"/>
        <v>0Year6Months22Days</v>
      </c>
      <c r="Y46" s="25" t="s">
        <v>114</v>
      </c>
      <c r="Z46" s="12" t="s">
        <v>55</v>
      </c>
      <c r="AA46" s="12">
        <v>1.810000989567E12</v>
      </c>
      <c r="AB46" s="11" t="s">
        <v>588</v>
      </c>
      <c r="AC46" s="18">
        <v>150000.0</v>
      </c>
      <c r="AD46" s="18"/>
      <c r="AE46" s="19"/>
      <c r="AF46" s="28">
        <v>4875000.0</v>
      </c>
      <c r="AG46" s="28">
        <v>1625000.0</v>
      </c>
      <c r="AH46" s="12">
        <v>2.6092864847E10</v>
      </c>
      <c r="AI46" s="22" t="s">
        <v>589</v>
      </c>
    </row>
    <row r="47">
      <c r="A47" s="11" t="s">
        <v>590</v>
      </c>
      <c r="B47" s="57" t="s">
        <v>591</v>
      </c>
      <c r="C47" s="11" t="s">
        <v>592</v>
      </c>
      <c r="D47" s="11" t="s">
        <v>38</v>
      </c>
      <c r="E47" s="12" t="s">
        <v>593</v>
      </c>
      <c r="F47" s="24"/>
      <c r="G47" s="24"/>
      <c r="H47" s="24"/>
      <c r="I47" s="24"/>
      <c r="J47" s="24"/>
      <c r="K47" s="11" t="s">
        <v>110</v>
      </c>
      <c r="L47" s="24"/>
      <c r="M47" s="24"/>
      <c r="N47" s="12" t="s">
        <v>563</v>
      </c>
      <c r="O47" s="12" t="s">
        <v>473</v>
      </c>
      <c r="P47" s="24"/>
      <c r="Q47" s="11" t="s">
        <v>474</v>
      </c>
      <c r="R47" s="11" t="s">
        <v>86</v>
      </c>
      <c r="S47" s="24"/>
      <c r="T47" s="11" t="s">
        <v>594</v>
      </c>
      <c r="U47" s="12" t="s">
        <v>565</v>
      </c>
      <c r="V47" s="12" t="s">
        <v>113</v>
      </c>
      <c r="W47" s="14">
        <v>46082.0</v>
      </c>
      <c r="X47" s="15" t="str">
        <f t="shared" si="3"/>
        <v>0Year6Months22Days</v>
      </c>
      <c r="Y47" s="24"/>
      <c r="Z47" s="24"/>
      <c r="AA47" s="24"/>
      <c r="AB47" s="24"/>
      <c r="AC47" s="24"/>
      <c r="AD47" s="19"/>
      <c r="AE47" s="19"/>
      <c r="AF47" s="28">
        <f>13000000*65%</f>
        <v>8450000</v>
      </c>
      <c r="AG47" s="28">
        <f>13000000-AF47</f>
        <v>4550000</v>
      </c>
      <c r="AH47" s="24"/>
      <c r="AI47" s="24"/>
    </row>
    <row r="48">
      <c r="A48" s="11" t="s">
        <v>595</v>
      </c>
      <c r="B48" s="11" t="s">
        <v>596</v>
      </c>
      <c r="C48" s="11" t="s">
        <v>597</v>
      </c>
      <c r="D48" s="11" t="s">
        <v>38</v>
      </c>
      <c r="E48" s="13" t="s">
        <v>598</v>
      </c>
      <c r="F48" s="11" t="s">
        <v>599</v>
      </c>
      <c r="G48" s="11" t="s">
        <v>600</v>
      </c>
      <c r="H48" s="11" t="s">
        <v>601</v>
      </c>
      <c r="I48" s="11" t="s">
        <v>602</v>
      </c>
      <c r="J48" s="34" t="s">
        <v>44</v>
      </c>
      <c r="K48" s="11" t="s">
        <v>110</v>
      </c>
      <c r="L48" s="12" t="s">
        <v>603</v>
      </c>
      <c r="M48" s="11" t="s">
        <v>604</v>
      </c>
      <c r="N48" s="12" t="s">
        <v>563</v>
      </c>
      <c r="O48" s="12" t="s">
        <v>473</v>
      </c>
      <c r="P48" s="12" t="s">
        <v>69</v>
      </c>
      <c r="Q48" s="11" t="s">
        <v>605</v>
      </c>
      <c r="R48" s="11" t="s">
        <v>50</v>
      </c>
      <c r="S48" s="11" t="s">
        <v>51</v>
      </c>
      <c r="T48" s="11" t="s">
        <v>488</v>
      </c>
      <c r="U48" s="58" t="s">
        <v>565</v>
      </c>
      <c r="V48" s="12" t="s">
        <v>113</v>
      </c>
      <c r="W48" s="14">
        <v>46150.0</v>
      </c>
      <c r="X48" s="15" t="str">
        <f t="shared" si="3"/>
        <v>0Year4Months15Days</v>
      </c>
      <c r="Y48" s="25" t="s">
        <v>88</v>
      </c>
      <c r="Z48" s="11" t="s">
        <v>55</v>
      </c>
      <c r="AA48" s="11">
        <v>1.520011948326E12</v>
      </c>
      <c r="AB48" s="11" t="s">
        <v>606</v>
      </c>
      <c r="AC48" s="56">
        <v>200000.0</v>
      </c>
      <c r="AD48" s="42"/>
      <c r="AE48" s="19"/>
      <c r="AF48" s="59">
        <v>1.8E7</v>
      </c>
      <c r="AG48" s="18"/>
      <c r="AH48" s="12">
        <v>1.805852335E10</v>
      </c>
      <c r="AI48" s="22" t="s">
        <v>607</v>
      </c>
    </row>
    <row r="49">
      <c r="A49" s="11" t="s">
        <v>608</v>
      </c>
      <c r="B49" s="11" t="s">
        <v>609</v>
      </c>
      <c r="C49" s="11" t="s">
        <v>610</v>
      </c>
      <c r="D49" s="11" t="s">
        <v>38</v>
      </c>
      <c r="E49" s="13" t="s">
        <v>611</v>
      </c>
      <c r="F49" s="11" t="s">
        <v>612</v>
      </c>
      <c r="G49" s="11" t="s">
        <v>613</v>
      </c>
      <c r="H49" s="11" t="s">
        <v>614</v>
      </c>
      <c r="I49" s="11" t="s">
        <v>615</v>
      </c>
      <c r="J49" s="34" t="s">
        <v>44</v>
      </c>
      <c r="K49" s="11" t="s">
        <v>110</v>
      </c>
      <c r="L49" s="12" t="s">
        <v>616</v>
      </c>
      <c r="M49" s="11" t="s">
        <v>617</v>
      </c>
      <c r="N49" s="12" t="s">
        <v>563</v>
      </c>
      <c r="O49" s="12" t="s">
        <v>473</v>
      </c>
      <c r="P49" s="12" t="s">
        <v>69</v>
      </c>
      <c r="Q49" s="11" t="s">
        <v>605</v>
      </c>
      <c r="R49" s="11" t="s">
        <v>50</v>
      </c>
      <c r="S49" s="11" t="s">
        <v>51</v>
      </c>
      <c r="T49" s="11" t="s">
        <v>618</v>
      </c>
      <c r="U49" s="58" t="s">
        <v>565</v>
      </c>
      <c r="V49" s="12" t="s">
        <v>113</v>
      </c>
      <c r="W49" s="14">
        <v>46147.0</v>
      </c>
      <c r="X49" s="15" t="str">
        <f t="shared" si="3"/>
        <v>0Year4Months18Days</v>
      </c>
      <c r="Y49" s="25" t="s">
        <v>114</v>
      </c>
      <c r="Z49" s="11" t="s">
        <v>55</v>
      </c>
      <c r="AA49" s="11">
        <v>1.450014460782E12</v>
      </c>
      <c r="AB49" s="11" t="s">
        <v>619</v>
      </c>
      <c r="AC49" s="18">
        <v>150000.0</v>
      </c>
      <c r="AD49" s="42"/>
      <c r="AE49" s="19"/>
      <c r="AF49" s="59">
        <v>1.1E7</v>
      </c>
      <c r="AG49" s="18"/>
      <c r="AH49" s="12">
        <v>2.2062133495E10</v>
      </c>
      <c r="AI49" s="22" t="s">
        <v>620</v>
      </c>
    </row>
    <row r="50">
      <c r="A50" s="11" t="s">
        <v>621</v>
      </c>
      <c r="B50" s="43" t="s">
        <v>622</v>
      </c>
      <c r="C50" s="11" t="s">
        <v>623</v>
      </c>
      <c r="D50" s="11" t="s">
        <v>38</v>
      </c>
      <c r="E50" s="13" t="s">
        <v>624</v>
      </c>
      <c r="F50" s="11" t="s">
        <v>625</v>
      </c>
      <c r="G50" s="24"/>
      <c r="H50" s="11" t="s">
        <v>359</v>
      </c>
      <c r="I50" s="11" t="s">
        <v>626</v>
      </c>
      <c r="J50" s="34" t="s">
        <v>44</v>
      </c>
      <c r="K50" s="11" t="s">
        <v>110</v>
      </c>
      <c r="L50" s="12" t="s">
        <v>627</v>
      </c>
      <c r="M50" s="11" t="s">
        <v>628</v>
      </c>
      <c r="N50" s="12" t="s">
        <v>563</v>
      </c>
      <c r="O50" s="12" t="s">
        <v>473</v>
      </c>
      <c r="P50" s="12" t="s">
        <v>69</v>
      </c>
      <c r="Q50" s="11" t="s">
        <v>605</v>
      </c>
      <c r="R50" s="11" t="s">
        <v>50</v>
      </c>
      <c r="S50" s="11" t="s">
        <v>51</v>
      </c>
      <c r="T50" s="11" t="s">
        <v>629</v>
      </c>
      <c r="U50" s="12" t="s">
        <v>52</v>
      </c>
      <c r="V50" s="12" t="s">
        <v>53</v>
      </c>
      <c r="W50" s="14">
        <v>43137.0</v>
      </c>
      <c r="X50" s="15" t="str">
        <f t="shared" si="3"/>
        <v>8Year7Months17Days</v>
      </c>
      <c r="Y50" s="25" t="s">
        <v>114</v>
      </c>
      <c r="Z50" s="12" t="s">
        <v>55</v>
      </c>
      <c r="AA50" s="12">
        <v>1.450014914754E12</v>
      </c>
      <c r="AB50" s="11" t="s">
        <v>622</v>
      </c>
      <c r="AC50" s="18">
        <v>150000.0</v>
      </c>
      <c r="AD50" s="18"/>
      <c r="AE50" s="19"/>
      <c r="AF50" s="59">
        <v>7500000.0</v>
      </c>
      <c r="AG50" s="18"/>
      <c r="AH50" s="12">
        <v>2.2071549954E10</v>
      </c>
      <c r="AI50" s="22" t="s">
        <v>630</v>
      </c>
    </row>
    <row r="51">
      <c r="A51" s="11" t="s">
        <v>631</v>
      </c>
      <c r="B51" s="11" t="s">
        <v>632</v>
      </c>
      <c r="C51" s="11" t="s">
        <v>633</v>
      </c>
      <c r="D51" s="11" t="s">
        <v>38</v>
      </c>
      <c r="E51" s="13" t="s">
        <v>634</v>
      </c>
      <c r="F51" s="11" t="s">
        <v>635</v>
      </c>
      <c r="G51" s="11" t="s">
        <v>636</v>
      </c>
      <c r="H51" s="11" t="s">
        <v>96</v>
      </c>
      <c r="I51" s="11" t="s">
        <v>637</v>
      </c>
      <c r="J51" s="34" t="s">
        <v>44</v>
      </c>
      <c r="K51" s="11" t="s">
        <v>83</v>
      </c>
      <c r="L51" s="12" t="s">
        <v>638</v>
      </c>
      <c r="M51" s="11" t="s">
        <v>639</v>
      </c>
      <c r="N51" s="12" t="s">
        <v>563</v>
      </c>
      <c r="O51" s="12" t="s">
        <v>473</v>
      </c>
      <c r="P51" s="12" t="s">
        <v>69</v>
      </c>
      <c r="Q51" s="11" t="s">
        <v>605</v>
      </c>
      <c r="R51" s="11" t="s">
        <v>50</v>
      </c>
      <c r="S51" s="11" t="s">
        <v>51</v>
      </c>
      <c r="T51" s="11" t="s">
        <v>437</v>
      </c>
      <c r="U51" s="12" t="s">
        <v>52</v>
      </c>
      <c r="V51" s="12" t="s">
        <v>53</v>
      </c>
      <c r="W51" s="51">
        <v>43466.0</v>
      </c>
      <c r="X51" s="52" t="str">
        <f t="shared" si="3"/>
        <v>7Year8Months22Days</v>
      </c>
      <c r="Y51" s="25" t="s">
        <v>114</v>
      </c>
      <c r="Z51" s="12" t="s">
        <v>55</v>
      </c>
      <c r="AA51" s="12">
        <v>1.450014917161E12</v>
      </c>
      <c r="AB51" s="11" t="s">
        <v>640</v>
      </c>
      <c r="AC51" s="18">
        <v>150000.0</v>
      </c>
      <c r="AD51" s="18"/>
      <c r="AE51" s="19"/>
      <c r="AF51" s="59">
        <v>6500000.0</v>
      </c>
      <c r="AG51" s="18"/>
      <c r="AH51" s="12">
        <v>2.207154997E10</v>
      </c>
      <c r="AI51" s="22" t="s">
        <v>641</v>
      </c>
    </row>
    <row r="52">
      <c r="A52" s="11" t="s">
        <v>642</v>
      </c>
      <c r="B52" s="11" t="s">
        <v>643</v>
      </c>
      <c r="C52" s="11" t="s">
        <v>644</v>
      </c>
      <c r="D52" s="11" t="s">
        <v>38</v>
      </c>
      <c r="E52" s="12" t="s">
        <v>645</v>
      </c>
      <c r="F52" s="11" t="s">
        <v>646</v>
      </c>
      <c r="G52" s="24"/>
      <c r="H52" s="11" t="s">
        <v>647</v>
      </c>
      <c r="I52" s="11" t="s">
        <v>648</v>
      </c>
      <c r="J52" s="34" t="s">
        <v>44</v>
      </c>
      <c r="K52" s="11" t="s">
        <v>110</v>
      </c>
      <c r="L52" s="24"/>
      <c r="M52" s="24"/>
      <c r="N52" s="12" t="s">
        <v>563</v>
      </c>
      <c r="O52" s="12" t="s">
        <v>473</v>
      </c>
      <c r="P52" s="12" t="s">
        <v>69</v>
      </c>
      <c r="Q52" s="11" t="s">
        <v>605</v>
      </c>
      <c r="R52" s="11" t="s">
        <v>50</v>
      </c>
      <c r="S52" s="11" t="s">
        <v>51</v>
      </c>
      <c r="T52" s="11" t="s">
        <v>437</v>
      </c>
      <c r="U52" s="58" t="s">
        <v>565</v>
      </c>
      <c r="V52" s="12" t="s">
        <v>53</v>
      </c>
      <c r="W52" s="14">
        <v>46132.0</v>
      </c>
      <c r="X52" s="15" t="str">
        <f t="shared" si="3"/>
        <v>0Year5Months3Days</v>
      </c>
      <c r="Y52" s="25" t="s">
        <v>324</v>
      </c>
      <c r="Z52" s="11" t="s">
        <v>55</v>
      </c>
      <c r="AA52" s="11">
        <v>1.810003150563E12</v>
      </c>
      <c r="AB52" s="11" t="s">
        <v>649</v>
      </c>
      <c r="AC52" s="18">
        <v>150000.0</v>
      </c>
      <c r="AD52" s="42"/>
      <c r="AE52" s="19"/>
      <c r="AF52" s="59">
        <v>5000000.0</v>
      </c>
      <c r="AG52" s="18"/>
      <c r="AH52" s="48" t="s">
        <v>650</v>
      </c>
      <c r="AI52" s="22" t="s">
        <v>651</v>
      </c>
    </row>
    <row r="53">
      <c r="A53" s="11" t="s">
        <v>652</v>
      </c>
      <c r="B53" s="55" t="s">
        <v>653</v>
      </c>
      <c r="C53" s="11" t="s">
        <v>654</v>
      </c>
      <c r="D53" s="11" t="s">
        <v>38</v>
      </c>
      <c r="E53" s="13" t="s">
        <v>655</v>
      </c>
      <c r="F53" s="11" t="s">
        <v>656</v>
      </c>
      <c r="G53" s="11" t="s">
        <v>657</v>
      </c>
      <c r="H53" s="11" t="s">
        <v>658</v>
      </c>
      <c r="I53" s="11" t="s">
        <v>659</v>
      </c>
      <c r="J53" s="34" t="s">
        <v>44</v>
      </c>
      <c r="K53" s="11" t="s">
        <v>110</v>
      </c>
      <c r="L53" s="12" t="s">
        <v>660</v>
      </c>
      <c r="M53" s="11" t="s">
        <v>661</v>
      </c>
      <c r="N53" s="12" t="s">
        <v>563</v>
      </c>
      <c r="O53" s="12" t="s">
        <v>473</v>
      </c>
      <c r="P53" s="12" t="s">
        <v>69</v>
      </c>
      <c r="Q53" s="11" t="s">
        <v>605</v>
      </c>
      <c r="R53" s="11" t="s">
        <v>50</v>
      </c>
      <c r="S53" s="11" t="s">
        <v>51</v>
      </c>
      <c r="T53" s="11" t="s">
        <v>437</v>
      </c>
      <c r="U53" s="58" t="s">
        <v>565</v>
      </c>
      <c r="V53" s="12" t="s">
        <v>53</v>
      </c>
      <c r="W53" s="14">
        <v>46143.0</v>
      </c>
      <c r="X53" s="15" t="str">
        <f t="shared" si="3"/>
        <v>0Year4Months22Days</v>
      </c>
      <c r="Y53" s="25" t="s">
        <v>114</v>
      </c>
      <c r="Z53" s="60" t="s">
        <v>662</v>
      </c>
      <c r="AA53" s="11">
        <v>1.717220856E9</v>
      </c>
      <c r="AB53" s="11" t="s">
        <v>663</v>
      </c>
      <c r="AC53" s="18">
        <v>150000.0</v>
      </c>
      <c r="AD53" s="42"/>
      <c r="AE53" s="19"/>
      <c r="AF53" s="59">
        <v>5750000.0</v>
      </c>
      <c r="AG53" s="18"/>
      <c r="AH53" s="12">
        <v>2.6093680275E10</v>
      </c>
      <c r="AI53" s="22" t="s">
        <v>664</v>
      </c>
    </row>
    <row r="54">
      <c r="A54" s="11" t="s">
        <v>665</v>
      </c>
      <c r="B54" s="11" t="s">
        <v>666</v>
      </c>
      <c r="C54" s="11" t="s">
        <v>667</v>
      </c>
      <c r="D54" s="11" t="s">
        <v>38</v>
      </c>
      <c r="E54" s="12" t="s">
        <v>668</v>
      </c>
      <c r="F54" s="11" t="s">
        <v>669</v>
      </c>
      <c r="G54" s="11" t="s">
        <v>670</v>
      </c>
      <c r="H54" s="11" t="s">
        <v>96</v>
      </c>
      <c r="I54" s="11" t="s">
        <v>671</v>
      </c>
      <c r="J54" s="34" t="s">
        <v>44</v>
      </c>
      <c r="K54" s="11" t="s">
        <v>110</v>
      </c>
      <c r="L54" s="24"/>
      <c r="M54" s="24"/>
      <c r="N54" s="12" t="s">
        <v>563</v>
      </c>
      <c r="O54" s="12" t="s">
        <v>473</v>
      </c>
      <c r="P54" s="12" t="s">
        <v>69</v>
      </c>
      <c r="Q54" s="11" t="s">
        <v>605</v>
      </c>
      <c r="R54" s="11" t="s">
        <v>50</v>
      </c>
      <c r="S54" s="11" t="s">
        <v>51</v>
      </c>
      <c r="T54" s="11" t="s">
        <v>437</v>
      </c>
      <c r="U54" s="58" t="s">
        <v>565</v>
      </c>
      <c r="V54" s="12" t="s">
        <v>53</v>
      </c>
      <c r="W54" s="14">
        <v>46143.0</v>
      </c>
      <c r="X54" s="15" t="str">
        <f t="shared" si="3"/>
        <v>0Year4Months22Days</v>
      </c>
      <c r="Y54" s="25" t="s">
        <v>72</v>
      </c>
      <c r="Z54" s="60" t="s">
        <v>672</v>
      </c>
      <c r="AA54" s="11">
        <v>4.9050102221553E14</v>
      </c>
      <c r="AB54" s="11" t="s">
        <v>673</v>
      </c>
      <c r="AC54" s="18">
        <v>150000.0</v>
      </c>
      <c r="AD54" s="42"/>
      <c r="AE54" s="19"/>
      <c r="AF54" s="59">
        <v>5000000.0</v>
      </c>
      <c r="AG54" s="18"/>
      <c r="AH54" s="12">
        <v>2.6093680242E10</v>
      </c>
      <c r="AI54" s="22" t="s">
        <v>674</v>
      </c>
    </row>
    <row r="55">
      <c r="A55" s="11" t="s">
        <v>675</v>
      </c>
      <c r="B55" s="11" t="s">
        <v>676</v>
      </c>
      <c r="C55" s="11" t="s">
        <v>677</v>
      </c>
      <c r="D55" s="11" t="s">
        <v>38</v>
      </c>
      <c r="E55" s="12" t="s">
        <v>678</v>
      </c>
      <c r="F55" s="11" t="s">
        <v>679</v>
      </c>
      <c r="G55" s="11" t="s">
        <v>680</v>
      </c>
      <c r="H55" s="11" t="s">
        <v>681</v>
      </c>
      <c r="I55" s="11" t="s">
        <v>682</v>
      </c>
      <c r="J55" s="34" t="s">
        <v>44</v>
      </c>
      <c r="K55" s="11" t="s">
        <v>110</v>
      </c>
      <c r="L55" s="48" t="s">
        <v>683</v>
      </c>
      <c r="M55" s="11" t="s">
        <v>684</v>
      </c>
      <c r="N55" s="12" t="s">
        <v>563</v>
      </c>
      <c r="O55" s="12" t="s">
        <v>473</v>
      </c>
      <c r="P55" s="12" t="s">
        <v>69</v>
      </c>
      <c r="Q55" s="11" t="s">
        <v>605</v>
      </c>
      <c r="R55" s="11" t="s">
        <v>50</v>
      </c>
      <c r="S55" s="11" t="s">
        <v>51</v>
      </c>
      <c r="T55" s="11" t="s">
        <v>576</v>
      </c>
      <c r="U55" s="58" t="s">
        <v>565</v>
      </c>
      <c r="V55" s="12" t="s">
        <v>113</v>
      </c>
      <c r="W55" s="14">
        <v>46202.0</v>
      </c>
      <c r="X55" s="15" t="str">
        <f t="shared" si="3"/>
        <v>0Year2Months25Days</v>
      </c>
      <c r="Y55" s="12" t="s">
        <v>54</v>
      </c>
      <c r="Z55" s="24"/>
      <c r="AA55" s="24"/>
      <c r="AB55" s="11" t="s">
        <v>685</v>
      </c>
      <c r="AC55" s="18">
        <v>150000.0</v>
      </c>
      <c r="AD55" s="42"/>
      <c r="AE55" s="19"/>
      <c r="AF55" s="28">
        <v>6000000.0</v>
      </c>
      <c r="AG55" s="18"/>
      <c r="AH55" s="61" t="s">
        <v>686</v>
      </c>
      <c r="AI55" s="61" t="s">
        <v>686</v>
      </c>
    </row>
    <row r="56">
      <c r="A56" s="11" t="s">
        <v>687</v>
      </c>
      <c r="B56" s="11" t="s">
        <v>688</v>
      </c>
      <c r="C56" s="11" t="s">
        <v>518</v>
      </c>
      <c r="D56" s="11" t="s">
        <v>38</v>
      </c>
      <c r="E56" s="13" t="s">
        <v>689</v>
      </c>
      <c r="F56" s="11" t="s">
        <v>690</v>
      </c>
      <c r="G56" s="24"/>
      <c r="H56" s="11" t="s">
        <v>178</v>
      </c>
      <c r="I56" s="11" t="s">
        <v>691</v>
      </c>
      <c r="J56" s="34" t="s">
        <v>140</v>
      </c>
      <c r="K56" s="11" t="s">
        <v>127</v>
      </c>
      <c r="L56" s="48" t="s">
        <v>692</v>
      </c>
      <c r="M56" s="11" t="s">
        <v>693</v>
      </c>
      <c r="N56" s="12" t="s">
        <v>563</v>
      </c>
      <c r="O56" s="12" t="s">
        <v>473</v>
      </c>
      <c r="P56" s="12" t="s">
        <v>69</v>
      </c>
      <c r="Q56" s="11" t="s">
        <v>605</v>
      </c>
      <c r="R56" s="11" t="s">
        <v>50</v>
      </c>
      <c r="S56" s="11" t="s">
        <v>51</v>
      </c>
      <c r="T56" s="11" t="s">
        <v>388</v>
      </c>
      <c r="U56" s="58" t="s">
        <v>565</v>
      </c>
      <c r="V56" s="12" t="s">
        <v>113</v>
      </c>
      <c r="W56" s="14">
        <v>46225.0</v>
      </c>
      <c r="X56" s="15" t="str">
        <f t="shared" si="3"/>
        <v>0Year2Months1Days</v>
      </c>
      <c r="Y56" s="12" t="s">
        <v>54</v>
      </c>
      <c r="Z56" s="11" t="s">
        <v>55</v>
      </c>
      <c r="AA56" s="11">
        <v>1.750003713723E12</v>
      </c>
      <c r="AB56" s="11" t="s">
        <v>694</v>
      </c>
      <c r="AC56" s="18">
        <v>150000.0</v>
      </c>
      <c r="AD56" s="42"/>
      <c r="AE56" s="19"/>
      <c r="AF56" s="59">
        <v>7000000.0</v>
      </c>
      <c r="AG56" s="18"/>
      <c r="AH56" s="61" t="s">
        <v>686</v>
      </c>
      <c r="AI56" s="61" t="s">
        <v>686</v>
      </c>
    </row>
    <row r="57">
      <c r="A57" s="11" t="s">
        <v>695</v>
      </c>
      <c r="B57" s="11" t="s">
        <v>696</v>
      </c>
      <c r="C57" s="11" t="s">
        <v>697</v>
      </c>
      <c r="D57" s="11" t="s">
        <v>38</v>
      </c>
      <c r="E57" s="13" t="s">
        <v>698</v>
      </c>
      <c r="F57" s="11" t="s">
        <v>699</v>
      </c>
      <c r="G57" s="24"/>
      <c r="H57" s="11" t="s">
        <v>700</v>
      </c>
      <c r="I57" s="11" t="s">
        <v>701</v>
      </c>
      <c r="J57" s="34" t="s">
        <v>140</v>
      </c>
      <c r="K57" s="11" t="s">
        <v>110</v>
      </c>
      <c r="L57" s="48" t="s">
        <v>702</v>
      </c>
      <c r="M57" s="11" t="s">
        <v>703</v>
      </c>
      <c r="N57" s="12" t="s">
        <v>563</v>
      </c>
      <c r="O57" s="12" t="s">
        <v>473</v>
      </c>
      <c r="P57" s="12" t="s">
        <v>69</v>
      </c>
      <c r="Q57" s="11" t="s">
        <v>605</v>
      </c>
      <c r="R57" s="11" t="s">
        <v>50</v>
      </c>
      <c r="S57" s="11" t="s">
        <v>51</v>
      </c>
      <c r="T57" s="11" t="s">
        <v>704</v>
      </c>
      <c r="U57" s="58" t="s">
        <v>565</v>
      </c>
      <c r="V57" s="12" t="s">
        <v>113</v>
      </c>
      <c r="W57" s="14">
        <v>46232.0</v>
      </c>
      <c r="X57" s="15" t="str">
        <f t="shared" si="3"/>
        <v>0Year1Months25Days</v>
      </c>
      <c r="Y57" s="12" t="s">
        <v>54</v>
      </c>
      <c r="Z57" s="24"/>
      <c r="AA57" s="24"/>
      <c r="AB57" s="11" t="s">
        <v>705</v>
      </c>
      <c r="AC57" s="18">
        <v>150000.0</v>
      </c>
      <c r="AD57" s="42"/>
      <c r="AE57" s="19"/>
      <c r="AF57" s="28">
        <v>8000000.0</v>
      </c>
      <c r="AG57" s="18"/>
      <c r="AH57" s="61" t="s">
        <v>686</v>
      </c>
      <c r="AI57" s="61" t="s">
        <v>686</v>
      </c>
    </row>
    <row r="58">
      <c r="A58" s="11" t="s">
        <v>706</v>
      </c>
      <c r="B58" s="11" t="s">
        <v>707</v>
      </c>
      <c r="C58" s="11" t="s">
        <v>708</v>
      </c>
      <c r="D58" s="11" t="s">
        <v>38</v>
      </c>
      <c r="E58" s="12" t="s">
        <v>709</v>
      </c>
      <c r="F58" s="11" t="s">
        <v>710</v>
      </c>
      <c r="G58" s="24"/>
      <c r="H58" s="11" t="s">
        <v>42</v>
      </c>
      <c r="I58" s="11" t="s">
        <v>711</v>
      </c>
      <c r="J58" s="34" t="s">
        <v>140</v>
      </c>
      <c r="K58" s="11" t="s">
        <v>110</v>
      </c>
      <c r="L58" s="48" t="s">
        <v>712</v>
      </c>
      <c r="M58" s="11" t="s">
        <v>713</v>
      </c>
      <c r="N58" s="12" t="s">
        <v>563</v>
      </c>
      <c r="O58" s="12" t="s">
        <v>473</v>
      </c>
      <c r="P58" s="12" t="s">
        <v>69</v>
      </c>
      <c r="Q58" s="11" t="s">
        <v>605</v>
      </c>
      <c r="R58" s="11" t="s">
        <v>50</v>
      </c>
      <c r="S58" s="11" t="s">
        <v>51</v>
      </c>
      <c r="T58" s="11" t="s">
        <v>526</v>
      </c>
      <c r="U58" s="58" t="s">
        <v>565</v>
      </c>
      <c r="V58" s="12" t="s">
        <v>113</v>
      </c>
      <c r="W58" s="14">
        <v>46232.0</v>
      </c>
      <c r="X58" s="15" t="str">
        <f t="shared" si="3"/>
        <v>0Year1Months25Days</v>
      </c>
      <c r="Y58" s="25" t="s">
        <v>324</v>
      </c>
      <c r="Z58" s="24"/>
      <c r="AA58" s="24"/>
      <c r="AB58" s="11" t="s">
        <v>714</v>
      </c>
      <c r="AC58" s="18">
        <v>150000.0</v>
      </c>
      <c r="AD58" s="42"/>
      <c r="AE58" s="19"/>
      <c r="AF58" s="28">
        <v>9500000.0</v>
      </c>
      <c r="AG58" s="18"/>
      <c r="AH58" s="62"/>
      <c r="AI58" s="61" t="s">
        <v>715</v>
      </c>
    </row>
    <row r="59">
      <c r="A59" s="11" t="s">
        <v>716</v>
      </c>
      <c r="B59" s="11" t="s">
        <v>717</v>
      </c>
      <c r="C59" s="11" t="s">
        <v>718</v>
      </c>
      <c r="D59" s="11" t="s">
        <v>719</v>
      </c>
      <c r="E59" s="12" t="s">
        <v>720</v>
      </c>
      <c r="F59" s="11" t="s">
        <v>721</v>
      </c>
      <c r="G59" s="11" t="s">
        <v>722</v>
      </c>
      <c r="H59" s="24"/>
      <c r="I59" s="11" t="s">
        <v>723</v>
      </c>
      <c r="J59" s="11" t="s">
        <v>140</v>
      </c>
      <c r="K59" s="24"/>
      <c r="L59" s="48" t="s">
        <v>724</v>
      </c>
      <c r="M59" s="11" t="s">
        <v>725</v>
      </c>
      <c r="N59" s="12" t="s">
        <v>563</v>
      </c>
      <c r="O59" s="12" t="s">
        <v>473</v>
      </c>
      <c r="P59" s="12" t="s">
        <v>69</v>
      </c>
      <c r="Q59" s="11" t="s">
        <v>605</v>
      </c>
      <c r="R59" s="11" t="s">
        <v>50</v>
      </c>
      <c r="S59" s="11" t="s">
        <v>51</v>
      </c>
      <c r="T59" s="11" t="s">
        <v>475</v>
      </c>
      <c r="U59" s="58" t="s">
        <v>565</v>
      </c>
      <c r="V59" s="12" t="s">
        <v>113</v>
      </c>
      <c r="W59" s="14">
        <v>46248.0</v>
      </c>
      <c r="X59" s="15" t="str">
        <f t="shared" si="3"/>
        <v>0Year1Months9Days</v>
      </c>
      <c r="Y59" s="12" t="s">
        <v>54</v>
      </c>
      <c r="Z59" s="11" t="s">
        <v>55</v>
      </c>
      <c r="AA59" s="11">
        <v>1.810000462474E12</v>
      </c>
      <c r="AB59" s="11" t="s">
        <v>726</v>
      </c>
      <c r="AC59" s="18">
        <v>150000.0</v>
      </c>
      <c r="AD59" s="18"/>
      <c r="AE59" s="19"/>
      <c r="AF59" s="38"/>
      <c r="AG59" s="42"/>
      <c r="AH59" s="24"/>
      <c r="AI59" s="24"/>
    </row>
    <row r="60">
      <c r="A60" s="11" t="s">
        <v>727</v>
      </c>
      <c r="B60" s="11" t="s">
        <v>728</v>
      </c>
      <c r="C60" s="11" t="s">
        <v>729</v>
      </c>
      <c r="D60" s="11" t="s">
        <v>38</v>
      </c>
      <c r="E60" s="12" t="s">
        <v>730</v>
      </c>
      <c r="F60" s="11" t="s">
        <v>731</v>
      </c>
      <c r="G60" s="11" t="s">
        <v>732</v>
      </c>
      <c r="H60" s="11" t="s">
        <v>733</v>
      </c>
      <c r="I60" s="11" t="s">
        <v>734</v>
      </c>
      <c r="J60" s="34" t="s">
        <v>44</v>
      </c>
      <c r="K60" s="11" t="s">
        <v>110</v>
      </c>
      <c r="L60" s="23" t="s">
        <v>735</v>
      </c>
      <c r="M60" s="11" t="s">
        <v>736</v>
      </c>
      <c r="N60" s="12" t="s">
        <v>563</v>
      </c>
      <c r="O60" s="12" t="s">
        <v>473</v>
      </c>
      <c r="P60" s="12" t="s">
        <v>69</v>
      </c>
      <c r="Q60" s="11" t="s">
        <v>605</v>
      </c>
      <c r="R60" s="11" t="s">
        <v>50</v>
      </c>
      <c r="S60" s="11" t="s">
        <v>51</v>
      </c>
      <c r="T60" s="11" t="s">
        <v>737</v>
      </c>
      <c r="U60" s="58" t="s">
        <v>565</v>
      </c>
      <c r="V60" s="12" t="s">
        <v>113</v>
      </c>
      <c r="W60" s="14">
        <v>46287.0</v>
      </c>
      <c r="X60" s="15" t="str">
        <f t="shared" si="3"/>
        <v>0Year0Months1Days</v>
      </c>
      <c r="Y60" s="12" t="s">
        <v>54</v>
      </c>
      <c r="Z60" s="24"/>
      <c r="AA60" s="24"/>
      <c r="AB60" s="24"/>
      <c r="AC60" s="18">
        <v>150000.0</v>
      </c>
      <c r="AD60" s="19"/>
      <c r="AE60" s="19"/>
      <c r="AF60" s="42"/>
      <c r="AG60" s="42"/>
      <c r="AH60" s="19"/>
      <c r="AI60" s="24"/>
    </row>
    <row r="61">
      <c r="A61" s="11" t="s">
        <v>738</v>
      </c>
      <c r="B61" s="11" t="s">
        <v>739</v>
      </c>
      <c r="C61" s="11" t="s">
        <v>740</v>
      </c>
      <c r="D61" s="11" t="s">
        <v>38</v>
      </c>
      <c r="E61" s="12" t="s">
        <v>741</v>
      </c>
      <c r="F61" s="11" t="s">
        <v>742</v>
      </c>
      <c r="G61" s="24"/>
      <c r="H61" s="11" t="s">
        <v>743</v>
      </c>
      <c r="I61" s="11" t="s">
        <v>744</v>
      </c>
      <c r="J61" s="34" t="s">
        <v>44</v>
      </c>
      <c r="K61" s="11" t="s">
        <v>110</v>
      </c>
      <c r="L61" s="23" t="s">
        <v>745</v>
      </c>
      <c r="M61" s="11" t="s">
        <v>746</v>
      </c>
      <c r="N61" s="12" t="s">
        <v>563</v>
      </c>
      <c r="O61" s="12" t="s">
        <v>473</v>
      </c>
      <c r="P61" s="12" t="s">
        <v>69</v>
      </c>
      <c r="Q61" s="11" t="s">
        <v>605</v>
      </c>
      <c r="R61" s="11" t="s">
        <v>50</v>
      </c>
      <c r="S61" s="11" t="s">
        <v>51</v>
      </c>
      <c r="T61" s="11" t="s">
        <v>629</v>
      </c>
      <c r="U61" s="58" t="s">
        <v>565</v>
      </c>
      <c r="V61" s="12" t="s">
        <v>113</v>
      </c>
      <c r="W61" s="36"/>
      <c r="X61" s="36"/>
      <c r="Y61" s="12" t="s">
        <v>54</v>
      </c>
      <c r="Z61" s="24"/>
      <c r="AA61" s="24"/>
      <c r="AB61" s="24"/>
      <c r="AC61" s="18">
        <v>150000.0</v>
      </c>
      <c r="AD61" s="19"/>
      <c r="AE61" s="19"/>
      <c r="AF61" s="42"/>
      <c r="AG61" s="42"/>
      <c r="AH61" s="19"/>
      <c r="AI61" s="24"/>
    </row>
    <row r="62">
      <c r="A62" s="11" t="s">
        <v>747</v>
      </c>
      <c r="B62" s="11" t="s">
        <v>748</v>
      </c>
      <c r="C62" s="11" t="s">
        <v>749</v>
      </c>
      <c r="D62" s="11" t="s">
        <v>38</v>
      </c>
      <c r="E62" s="12" t="s">
        <v>750</v>
      </c>
      <c r="F62" s="11" t="s">
        <v>751</v>
      </c>
      <c r="G62" s="24"/>
      <c r="H62" s="11" t="s">
        <v>752</v>
      </c>
      <c r="I62" s="11" t="s">
        <v>753</v>
      </c>
      <c r="J62" s="11" t="s">
        <v>140</v>
      </c>
      <c r="K62" s="11" t="s">
        <v>110</v>
      </c>
      <c r="L62" s="24"/>
      <c r="M62" s="24"/>
      <c r="N62" s="12" t="s">
        <v>563</v>
      </c>
      <c r="O62" s="12" t="s">
        <v>473</v>
      </c>
      <c r="P62" s="12" t="s">
        <v>69</v>
      </c>
      <c r="Q62" s="11" t="s">
        <v>605</v>
      </c>
      <c r="R62" s="11" t="s">
        <v>50</v>
      </c>
      <c r="S62" s="11" t="s">
        <v>51</v>
      </c>
      <c r="T62" s="63" t="s">
        <v>754</v>
      </c>
      <c r="U62" s="58" t="s">
        <v>565</v>
      </c>
      <c r="V62" s="24"/>
      <c r="W62" s="36"/>
      <c r="X62" s="36"/>
      <c r="Y62" s="12" t="s">
        <v>54</v>
      </c>
      <c r="Z62" s="24"/>
      <c r="AA62" s="24"/>
      <c r="AB62" s="24"/>
      <c r="AC62" s="18">
        <v>150000.0</v>
      </c>
      <c r="AD62" s="19"/>
      <c r="AE62" s="19"/>
      <c r="AF62" s="64">
        <v>7500000.0</v>
      </c>
      <c r="AG62" s="42"/>
      <c r="AH62" s="19"/>
      <c r="AI62" s="24"/>
    </row>
  </sheetData>
  <mergeCells count="1">
    <mergeCell ref="A1:AI1"/>
  </mergeCells>
  <drawing r:id="rId1"/>
</worksheet>
</file>